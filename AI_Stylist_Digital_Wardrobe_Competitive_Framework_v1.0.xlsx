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njal Atul Palan\Desktop\Kunjal\"/>
    </mc:Choice>
  </mc:AlternateContent>
  <xr:revisionPtr revIDLastSave="0" documentId="8_{1F88136D-BAEC-4424-9AB9-87919C9FA271}" xr6:coauthVersionLast="47" xr6:coauthVersionMax="47" xr10:uidLastSave="{00000000-0000-0000-0000-000000000000}"/>
  <bookViews>
    <workbookView xWindow="-110" yWindow="-110" windowWidth="19420" windowHeight="11500" tabRatio="500" activeTab="7" xr2:uid="{00000000-000D-0000-FFFF-FFFF00000000}"/>
  </bookViews>
  <sheets>
    <sheet name="1. README &amp; Legend" sheetId="1" r:id="rId1"/>
    <sheet name="2. Competitive Universe" sheetId="2" r:id="rId2"/>
    <sheet name="3. Product Archetypes" sheetId="3" r:id="rId3"/>
    <sheet name="4. Jobs To Be Done" sheetId="4" r:id="rId4"/>
    <sheet name="5. Feature Matrix" sheetId="5" r:id="rId5"/>
    <sheet name="6. Coverage Summary" sheetId="6" r:id="rId6"/>
    <sheet name="7. Sophistication Scores" sheetId="7" r:id="rId7"/>
    <sheet name="8. AI Intelligence Layer" sheetId="8" r:id="rId8"/>
    <sheet name="9. Table Stakes vs Diff." sheetId="9" r:id="rId9"/>
    <sheet name="10. Research Gaps" sheetId="10" r:id="rId10"/>
    <sheet name="11. Sources &amp; Reliability" sheetId="11" r:id="rId11"/>
  </sheets>
  <definedNames>
    <definedName name="_xlnm._FilterDatabase" localSheetId="9" hidden="1">'10. Research Gaps'!$A$4:$F$24</definedName>
    <definedName name="_xlnm._FilterDatabase" localSheetId="10" hidden="1">'11. Sources &amp; Reliability'!$A$4:$D$38</definedName>
    <definedName name="_xlnm._FilterDatabase" localSheetId="1" hidden="1">'2. Competitive Universe'!$A$4:$M$36</definedName>
    <definedName name="_xlnm._FilterDatabase" localSheetId="4" hidden="1">'5. Feature Matrix'!$A$4:$R$386</definedName>
    <definedName name="_xlnm._FilterDatabase" localSheetId="8" hidden="1">'9. Table Stakes vs Diff.'!$A$4:$E$47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1" i="6" l="1"/>
  <c r="J31" i="6"/>
  <c r="I31" i="6"/>
  <c r="H31" i="6"/>
  <c r="G31" i="6"/>
  <c r="F31" i="6"/>
  <c r="E31" i="6"/>
  <c r="D31" i="6"/>
  <c r="C31" i="6"/>
  <c r="B31" i="6"/>
  <c r="K30" i="6"/>
  <c r="J30" i="6"/>
  <c r="I30" i="6"/>
  <c r="H30" i="6"/>
  <c r="G30" i="6"/>
  <c r="F30" i="6"/>
  <c r="E30" i="6"/>
  <c r="D30" i="6"/>
  <c r="C30" i="6"/>
  <c r="B30" i="6"/>
  <c r="K29" i="6"/>
  <c r="J29" i="6"/>
  <c r="I29" i="6"/>
  <c r="H29" i="6"/>
  <c r="G29" i="6"/>
  <c r="F29" i="6"/>
  <c r="E29" i="6"/>
  <c r="D29" i="6"/>
  <c r="C29" i="6"/>
  <c r="B29" i="6"/>
  <c r="K28" i="6"/>
  <c r="J28" i="6"/>
  <c r="I28" i="6"/>
  <c r="H28" i="6"/>
  <c r="G28" i="6"/>
  <c r="F28" i="6"/>
  <c r="E28" i="6"/>
  <c r="D28" i="6"/>
  <c r="C28" i="6"/>
  <c r="B28" i="6"/>
  <c r="K27" i="6"/>
  <c r="J27" i="6"/>
  <c r="I27" i="6"/>
  <c r="H27" i="6"/>
  <c r="G27" i="6"/>
  <c r="F27" i="6"/>
  <c r="E27" i="6"/>
  <c r="D27" i="6"/>
  <c r="C27" i="6"/>
  <c r="B27" i="6"/>
  <c r="K26" i="6"/>
  <c r="J26" i="6"/>
  <c r="I26" i="6"/>
  <c r="H26" i="6"/>
  <c r="G26" i="6"/>
  <c r="F26" i="6"/>
  <c r="E26" i="6"/>
  <c r="D26" i="6"/>
  <c r="C26" i="6"/>
  <c r="B26" i="6"/>
  <c r="K25" i="6"/>
  <c r="J25" i="6"/>
  <c r="I25" i="6"/>
  <c r="H25" i="6"/>
  <c r="G25" i="6"/>
  <c r="F25" i="6"/>
  <c r="E25" i="6"/>
  <c r="D25" i="6"/>
  <c r="C25" i="6"/>
  <c r="B25" i="6"/>
  <c r="K24" i="6"/>
  <c r="J24" i="6"/>
  <c r="I24" i="6"/>
  <c r="H24" i="6"/>
  <c r="G24" i="6"/>
  <c r="F24" i="6"/>
  <c r="E24" i="6"/>
  <c r="D24" i="6"/>
  <c r="C24" i="6"/>
  <c r="B24" i="6"/>
  <c r="K23" i="6"/>
  <c r="J23" i="6"/>
  <c r="I23" i="6"/>
  <c r="H23" i="6"/>
  <c r="G23" i="6"/>
  <c r="F23" i="6"/>
  <c r="E23" i="6"/>
  <c r="D23" i="6"/>
  <c r="C23" i="6"/>
  <c r="B23" i="6"/>
  <c r="K22" i="6"/>
  <c r="J22" i="6"/>
  <c r="I22" i="6"/>
  <c r="H22" i="6"/>
  <c r="G22" i="6"/>
  <c r="F22" i="6"/>
  <c r="E22" i="6"/>
  <c r="D22" i="6"/>
  <c r="C22" i="6"/>
  <c r="B22" i="6"/>
  <c r="K21" i="6"/>
  <c r="J21" i="6"/>
  <c r="I21" i="6"/>
  <c r="H21" i="6"/>
  <c r="G21" i="6"/>
  <c r="F21" i="6"/>
  <c r="E21" i="6"/>
  <c r="D21" i="6"/>
  <c r="C21" i="6"/>
  <c r="B21" i="6"/>
  <c r="K20" i="6"/>
  <c r="J20" i="6"/>
  <c r="I20" i="6"/>
  <c r="H20" i="6"/>
  <c r="G20" i="6"/>
  <c r="F20" i="6"/>
  <c r="E20" i="6"/>
  <c r="D20" i="6"/>
  <c r="C20" i="6"/>
  <c r="B20" i="6"/>
  <c r="K19" i="6"/>
  <c r="J19" i="6"/>
  <c r="I19" i="6"/>
  <c r="H19" i="6"/>
  <c r="G19" i="6"/>
  <c r="F19" i="6"/>
  <c r="E19" i="6"/>
  <c r="D19" i="6"/>
  <c r="C19" i="6"/>
  <c r="B19" i="6"/>
  <c r="K18" i="6"/>
  <c r="J18" i="6"/>
  <c r="I18" i="6"/>
  <c r="H18" i="6"/>
  <c r="G18" i="6"/>
  <c r="F18" i="6"/>
  <c r="E18" i="6"/>
  <c r="D18" i="6"/>
  <c r="C18" i="6"/>
  <c r="B18" i="6"/>
  <c r="K17" i="6"/>
  <c r="J17" i="6"/>
  <c r="I17" i="6"/>
  <c r="H17" i="6"/>
  <c r="G17" i="6"/>
  <c r="F17" i="6"/>
  <c r="E17" i="6"/>
  <c r="D17" i="6"/>
  <c r="C17" i="6"/>
  <c r="B17" i="6"/>
  <c r="K16" i="6"/>
  <c r="J16" i="6"/>
  <c r="I16" i="6"/>
  <c r="H16" i="6"/>
  <c r="G16" i="6"/>
  <c r="F16" i="6"/>
  <c r="E16" i="6"/>
  <c r="D16" i="6"/>
  <c r="C16" i="6"/>
  <c r="B16" i="6"/>
  <c r="K15" i="6"/>
  <c r="J15" i="6"/>
  <c r="I15" i="6"/>
  <c r="H15" i="6"/>
  <c r="G15" i="6"/>
  <c r="F15" i="6"/>
  <c r="E15" i="6"/>
  <c r="D15" i="6"/>
  <c r="C15" i="6"/>
  <c r="B15" i="6"/>
  <c r="K14" i="6"/>
  <c r="J14" i="6"/>
  <c r="I14" i="6"/>
  <c r="H14" i="6"/>
  <c r="G14" i="6"/>
  <c r="F14" i="6"/>
  <c r="E14" i="6"/>
  <c r="D14" i="6"/>
  <c r="C14" i="6"/>
  <c r="B14" i="6"/>
  <c r="K13" i="6"/>
  <c r="J13" i="6"/>
  <c r="I13" i="6"/>
  <c r="H13" i="6"/>
  <c r="G13" i="6"/>
  <c r="F13" i="6"/>
  <c r="E13" i="6"/>
  <c r="D13" i="6"/>
  <c r="C13" i="6"/>
  <c r="B13" i="6"/>
  <c r="K12" i="6"/>
  <c r="J12" i="6"/>
  <c r="I12" i="6"/>
  <c r="H12" i="6"/>
  <c r="G12" i="6"/>
  <c r="F12" i="6"/>
  <c r="E12" i="6"/>
  <c r="D12" i="6"/>
  <c r="C12" i="6"/>
  <c r="B12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9" i="6"/>
  <c r="J9" i="6"/>
  <c r="I9" i="6"/>
  <c r="H9" i="6"/>
  <c r="G9" i="6"/>
  <c r="F9" i="6"/>
  <c r="E9" i="6"/>
  <c r="D9" i="6"/>
  <c r="C9" i="6"/>
  <c r="B9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" i="6"/>
  <c r="J5" i="6"/>
  <c r="J32" i="6" s="1"/>
  <c r="I5" i="6"/>
  <c r="H5" i="6"/>
  <c r="H32" i="6" s="1"/>
  <c r="G5" i="6"/>
  <c r="G32" i="6" s="1"/>
  <c r="F5" i="6"/>
  <c r="E5" i="6"/>
  <c r="E32" i="6" s="1"/>
  <c r="D5" i="6"/>
  <c r="C5" i="6"/>
  <c r="B5" i="6"/>
  <c r="O386" i="5"/>
  <c r="N386" i="5"/>
  <c r="Q386" i="5" s="1"/>
  <c r="M386" i="5"/>
  <c r="P386" i="5" s="1"/>
  <c r="O385" i="5"/>
  <c r="N385" i="5"/>
  <c r="Q385" i="5" s="1"/>
  <c r="M385" i="5"/>
  <c r="P385" i="5" s="1"/>
  <c r="Q384" i="5"/>
  <c r="P384" i="5"/>
  <c r="O384" i="5"/>
  <c r="N384" i="5"/>
  <c r="M384" i="5"/>
  <c r="O383" i="5"/>
  <c r="N383" i="5"/>
  <c r="M383" i="5"/>
  <c r="Q382" i="5"/>
  <c r="O382" i="5"/>
  <c r="P382" i="5" s="1"/>
  <c r="N382" i="5"/>
  <c r="M382" i="5"/>
  <c r="O381" i="5"/>
  <c r="N381" i="5"/>
  <c r="M381" i="5"/>
  <c r="O380" i="5"/>
  <c r="N380" i="5"/>
  <c r="M380" i="5"/>
  <c r="Q380" i="5" s="1"/>
  <c r="Q379" i="5"/>
  <c r="P379" i="5"/>
  <c r="O379" i="5"/>
  <c r="N379" i="5"/>
  <c r="M379" i="5"/>
  <c r="O378" i="5"/>
  <c r="N378" i="5"/>
  <c r="M378" i="5"/>
  <c r="O377" i="5"/>
  <c r="N377" i="5"/>
  <c r="Q377" i="5" s="1"/>
  <c r="M377" i="5"/>
  <c r="P376" i="5"/>
  <c r="O376" i="5"/>
  <c r="N376" i="5"/>
  <c r="M376" i="5"/>
  <c r="Q376" i="5" s="1"/>
  <c r="O375" i="5"/>
  <c r="N375" i="5"/>
  <c r="M375" i="5"/>
  <c r="Q374" i="5"/>
  <c r="O374" i="5"/>
  <c r="N374" i="5"/>
  <c r="M374" i="5"/>
  <c r="O373" i="5"/>
  <c r="N373" i="5"/>
  <c r="M373" i="5"/>
  <c r="P373" i="5" s="1"/>
  <c r="Q372" i="5"/>
  <c r="P372" i="5"/>
  <c r="O372" i="5"/>
  <c r="N372" i="5"/>
  <c r="M372" i="5"/>
  <c r="Q371" i="5"/>
  <c r="O371" i="5"/>
  <c r="N371" i="5"/>
  <c r="M371" i="5"/>
  <c r="O370" i="5"/>
  <c r="N370" i="5"/>
  <c r="M370" i="5"/>
  <c r="O369" i="5"/>
  <c r="N369" i="5"/>
  <c r="M369" i="5"/>
  <c r="Q368" i="5"/>
  <c r="P368" i="5"/>
  <c r="O368" i="5"/>
  <c r="N368" i="5"/>
  <c r="M368" i="5"/>
  <c r="O367" i="5"/>
  <c r="N367" i="5"/>
  <c r="M367" i="5"/>
  <c r="P366" i="5"/>
  <c r="O366" i="5"/>
  <c r="N366" i="5"/>
  <c r="M366" i="5"/>
  <c r="O365" i="5"/>
  <c r="N365" i="5"/>
  <c r="P365" i="5" s="1"/>
  <c r="M365" i="5"/>
  <c r="O364" i="5"/>
  <c r="N364" i="5"/>
  <c r="P364" i="5" s="1"/>
  <c r="M364" i="5"/>
  <c r="Q363" i="5"/>
  <c r="P363" i="5"/>
  <c r="O363" i="5"/>
  <c r="N363" i="5"/>
  <c r="M363" i="5"/>
  <c r="O362" i="5"/>
  <c r="N362" i="5"/>
  <c r="Q362" i="5" s="1"/>
  <c r="M362" i="5"/>
  <c r="P362" i="5" s="1"/>
  <c r="O361" i="5"/>
  <c r="N361" i="5"/>
  <c r="M361" i="5"/>
  <c r="Q361" i="5" s="1"/>
  <c r="Q360" i="5"/>
  <c r="P360" i="5"/>
  <c r="O360" i="5"/>
  <c r="N360" i="5"/>
  <c r="M360" i="5"/>
  <c r="O359" i="5"/>
  <c r="N359" i="5"/>
  <c r="M359" i="5"/>
  <c r="Q358" i="5"/>
  <c r="P358" i="5"/>
  <c r="O358" i="5"/>
  <c r="N358" i="5"/>
  <c r="M358" i="5"/>
  <c r="O357" i="5"/>
  <c r="N357" i="5"/>
  <c r="M357" i="5"/>
  <c r="O356" i="5"/>
  <c r="N356" i="5"/>
  <c r="M356" i="5"/>
  <c r="Q356" i="5" s="1"/>
  <c r="Q355" i="5"/>
  <c r="P355" i="5"/>
  <c r="O355" i="5"/>
  <c r="N355" i="5"/>
  <c r="M355" i="5"/>
  <c r="O354" i="5"/>
  <c r="N354" i="5"/>
  <c r="M354" i="5"/>
  <c r="O353" i="5"/>
  <c r="N353" i="5"/>
  <c r="Q353" i="5" s="1"/>
  <c r="M353" i="5"/>
  <c r="P352" i="5"/>
  <c r="O352" i="5"/>
  <c r="N352" i="5"/>
  <c r="M352" i="5"/>
  <c r="Q352" i="5" s="1"/>
  <c r="O351" i="5"/>
  <c r="N351" i="5"/>
  <c r="M351" i="5"/>
  <c r="O350" i="5"/>
  <c r="N350" i="5"/>
  <c r="Q350" i="5" s="1"/>
  <c r="M350" i="5"/>
  <c r="O349" i="5"/>
  <c r="N349" i="5"/>
  <c r="M349" i="5"/>
  <c r="P349" i="5" s="1"/>
  <c r="Q348" i="5"/>
  <c r="P348" i="5"/>
  <c r="O348" i="5"/>
  <c r="N348" i="5"/>
  <c r="M348" i="5"/>
  <c r="Q347" i="5"/>
  <c r="O347" i="5"/>
  <c r="N347" i="5"/>
  <c r="M347" i="5"/>
  <c r="O346" i="5"/>
  <c r="N346" i="5"/>
  <c r="M346" i="5"/>
  <c r="O345" i="5"/>
  <c r="N345" i="5"/>
  <c r="M345" i="5"/>
  <c r="Q344" i="5"/>
  <c r="P344" i="5"/>
  <c r="O344" i="5"/>
  <c r="N344" i="5"/>
  <c r="M344" i="5"/>
  <c r="O343" i="5"/>
  <c r="N343" i="5"/>
  <c r="M343" i="5"/>
  <c r="O342" i="5"/>
  <c r="N342" i="5"/>
  <c r="P342" i="5" s="1"/>
  <c r="M342" i="5"/>
  <c r="O341" i="5"/>
  <c r="N341" i="5"/>
  <c r="P341" i="5" s="1"/>
  <c r="M341" i="5"/>
  <c r="O340" i="5"/>
  <c r="N340" i="5"/>
  <c r="P340" i="5" s="1"/>
  <c r="M340" i="5"/>
  <c r="Q339" i="5"/>
  <c r="P339" i="5"/>
  <c r="O339" i="5"/>
  <c r="N339" i="5"/>
  <c r="M339" i="5"/>
  <c r="O338" i="5"/>
  <c r="N338" i="5"/>
  <c r="Q338" i="5" s="1"/>
  <c r="M338" i="5"/>
  <c r="P338" i="5" s="1"/>
  <c r="O337" i="5"/>
  <c r="N337" i="5"/>
  <c r="M337" i="5"/>
  <c r="Q337" i="5" s="1"/>
  <c r="Q336" i="5"/>
  <c r="P336" i="5"/>
  <c r="O336" i="5"/>
  <c r="N336" i="5"/>
  <c r="M336" i="5"/>
  <c r="O335" i="5"/>
  <c r="N335" i="5"/>
  <c r="M335" i="5"/>
  <c r="Q334" i="5"/>
  <c r="P334" i="5"/>
  <c r="O334" i="5"/>
  <c r="N334" i="5"/>
  <c r="M334" i="5"/>
  <c r="O333" i="5"/>
  <c r="N333" i="5"/>
  <c r="M333" i="5"/>
  <c r="P332" i="5"/>
  <c r="O332" i="5"/>
  <c r="N332" i="5"/>
  <c r="M332" i="5"/>
  <c r="Q332" i="5" s="1"/>
  <c r="Q331" i="5"/>
  <c r="P331" i="5"/>
  <c r="O331" i="5"/>
  <c r="N331" i="5"/>
  <c r="M331" i="5"/>
  <c r="O330" i="5"/>
  <c r="N330" i="5"/>
  <c r="M330" i="5"/>
  <c r="Q329" i="5"/>
  <c r="O329" i="5"/>
  <c r="N329" i="5"/>
  <c r="P329" i="5" s="1"/>
  <c r="M329" i="5"/>
  <c r="P328" i="5"/>
  <c r="O328" i="5"/>
  <c r="N328" i="5"/>
  <c r="M328" i="5"/>
  <c r="Q328" i="5" s="1"/>
  <c r="O327" i="5"/>
  <c r="N327" i="5"/>
  <c r="M327" i="5"/>
  <c r="Q326" i="5"/>
  <c r="O326" i="5"/>
  <c r="N326" i="5"/>
  <c r="M326" i="5"/>
  <c r="O325" i="5"/>
  <c r="N325" i="5"/>
  <c r="M325" i="5"/>
  <c r="P325" i="5" s="1"/>
  <c r="Q324" i="5"/>
  <c r="O324" i="5"/>
  <c r="P324" i="5" s="1"/>
  <c r="N324" i="5"/>
  <c r="M324" i="5"/>
  <c r="Q323" i="5"/>
  <c r="O323" i="5"/>
  <c r="N323" i="5"/>
  <c r="M323" i="5"/>
  <c r="O322" i="5"/>
  <c r="N322" i="5"/>
  <c r="M322" i="5"/>
  <c r="O321" i="5"/>
  <c r="N321" i="5"/>
  <c r="M321" i="5"/>
  <c r="Q320" i="5"/>
  <c r="P320" i="5"/>
  <c r="O320" i="5"/>
  <c r="N320" i="5"/>
  <c r="M320" i="5"/>
  <c r="O319" i="5"/>
  <c r="N319" i="5"/>
  <c r="M319" i="5"/>
  <c r="O318" i="5"/>
  <c r="N318" i="5"/>
  <c r="P318" i="5" s="1"/>
  <c r="M318" i="5"/>
  <c r="O317" i="5"/>
  <c r="N317" i="5"/>
  <c r="P317" i="5" s="1"/>
  <c r="M317" i="5"/>
  <c r="O316" i="5"/>
  <c r="N316" i="5"/>
  <c r="M316" i="5"/>
  <c r="Q315" i="5"/>
  <c r="P315" i="5"/>
  <c r="O315" i="5"/>
  <c r="N315" i="5"/>
  <c r="M315" i="5"/>
  <c r="O314" i="5"/>
  <c r="N314" i="5"/>
  <c r="Q314" i="5" s="1"/>
  <c r="M314" i="5"/>
  <c r="P314" i="5" s="1"/>
  <c r="O313" i="5"/>
  <c r="N313" i="5"/>
  <c r="M313" i="5"/>
  <c r="Q313" i="5" s="1"/>
  <c r="Q312" i="5"/>
  <c r="P312" i="5"/>
  <c r="O312" i="5"/>
  <c r="N312" i="5"/>
  <c r="M312" i="5"/>
  <c r="O311" i="5"/>
  <c r="N311" i="5"/>
  <c r="M311" i="5"/>
  <c r="Q310" i="5"/>
  <c r="P310" i="5"/>
  <c r="O310" i="5"/>
  <c r="N310" i="5"/>
  <c r="M310" i="5"/>
  <c r="O309" i="5"/>
  <c r="N309" i="5"/>
  <c r="M309" i="5"/>
  <c r="P308" i="5"/>
  <c r="O308" i="5"/>
  <c r="N308" i="5"/>
  <c r="M308" i="5"/>
  <c r="Q307" i="5"/>
  <c r="P307" i="5"/>
  <c r="O307" i="5"/>
  <c r="N307" i="5"/>
  <c r="M307" i="5"/>
  <c r="O306" i="5"/>
  <c r="N306" i="5"/>
  <c r="M306" i="5"/>
  <c r="Q305" i="5"/>
  <c r="O305" i="5"/>
  <c r="P305" i="5" s="1"/>
  <c r="N305" i="5"/>
  <c r="M305" i="5"/>
  <c r="P304" i="5"/>
  <c r="O304" i="5"/>
  <c r="N304" i="5"/>
  <c r="M304" i="5"/>
  <c r="Q304" i="5" s="1"/>
  <c r="O303" i="5"/>
  <c r="N303" i="5"/>
  <c r="M303" i="5"/>
  <c r="Q302" i="5"/>
  <c r="O302" i="5"/>
  <c r="N302" i="5"/>
  <c r="M302" i="5"/>
  <c r="O301" i="5"/>
  <c r="N301" i="5"/>
  <c r="M301" i="5"/>
  <c r="P301" i="5" s="1"/>
  <c r="Q300" i="5"/>
  <c r="O300" i="5"/>
  <c r="P300" i="5" s="1"/>
  <c r="N300" i="5"/>
  <c r="M300" i="5"/>
  <c r="Q299" i="5"/>
  <c r="O299" i="5"/>
  <c r="N299" i="5"/>
  <c r="M299" i="5"/>
  <c r="O298" i="5"/>
  <c r="N298" i="5"/>
  <c r="M298" i="5"/>
  <c r="O297" i="5"/>
  <c r="N297" i="5"/>
  <c r="M297" i="5"/>
  <c r="Q296" i="5"/>
  <c r="P296" i="5"/>
  <c r="O296" i="5"/>
  <c r="N296" i="5"/>
  <c r="M296" i="5"/>
  <c r="O295" i="5"/>
  <c r="N295" i="5"/>
  <c r="M295" i="5"/>
  <c r="O294" i="5"/>
  <c r="P294" i="5" s="1"/>
  <c r="N294" i="5"/>
  <c r="M294" i="5"/>
  <c r="O293" i="5"/>
  <c r="N293" i="5"/>
  <c r="P293" i="5" s="1"/>
  <c r="M293" i="5"/>
  <c r="P292" i="5"/>
  <c r="O292" i="5"/>
  <c r="N292" i="5"/>
  <c r="M292" i="5"/>
  <c r="Q292" i="5" s="1"/>
  <c r="Q291" i="5"/>
  <c r="P291" i="5"/>
  <c r="O291" i="5"/>
  <c r="N291" i="5"/>
  <c r="M291" i="5"/>
  <c r="O290" i="5"/>
  <c r="N290" i="5"/>
  <c r="Q290" i="5" s="1"/>
  <c r="M290" i="5"/>
  <c r="P290" i="5" s="1"/>
  <c r="Q289" i="5"/>
  <c r="P289" i="5"/>
  <c r="O289" i="5"/>
  <c r="N289" i="5"/>
  <c r="M289" i="5"/>
  <c r="Q288" i="5"/>
  <c r="P288" i="5"/>
  <c r="O288" i="5"/>
  <c r="N288" i="5"/>
  <c r="M288" i="5"/>
  <c r="O287" i="5"/>
  <c r="N287" i="5"/>
  <c r="M287" i="5"/>
  <c r="Q286" i="5"/>
  <c r="O286" i="5"/>
  <c r="P286" i="5" s="1"/>
  <c r="N286" i="5"/>
  <c r="M286" i="5"/>
  <c r="O285" i="5"/>
  <c r="N285" i="5"/>
  <c r="M285" i="5"/>
  <c r="O284" i="5"/>
  <c r="N284" i="5"/>
  <c r="M284" i="5"/>
  <c r="P284" i="5" s="1"/>
  <c r="Q283" i="5"/>
  <c r="P283" i="5"/>
  <c r="O283" i="5"/>
  <c r="N283" i="5"/>
  <c r="M283" i="5"/>
  <c r="O282" i="5"/>
  <c r="N282" i="5"/>
  <c r="M282" i="5"/>
  <c r="O281" i="5"/>
  <c r="P281" i="5" s="1"/>
  <c r="N281" i="5"/>
  <c r="Q281" i="5" s="1"/>
  <c r="M281" i="5"/>
  <c r="P280" i="5"/>
  <c r="O280" i="5"/>
  <c r="N280" i="5"/>
  <c r="M280" i="5"/>
  <c r="Q280" i="5" s="1"/>
  <c r="O279" i="5"/>
  <c r="N279" i="5"/>
  <c r="M279" i="5"/>
  <c r="O278" i="5"/>
  <c r="N278" i="5"/>
  <c r="Q278" i="5" s="1"/>
  <c r="M278" i="5"/>
  <c r="O277" i="5"/>
  <c r="N277" i="5"/>
  <c r="M277" i="5"/>
  <c r="P277" i="5" s="1"/>
  <c r="Q276" i="5"/>
  <c r="O276" i="5"/>
  <c r="P276" i="5" s="1"/>
  <c r="N276" i="5"/>
  <c r="M276" i="5"/>
  <c r="Q275" i="5"/>
  <c r="O275" i="5"/>
  <c r="N275" i="5"/>
  <c r="M275" i="5"/>
  <c r="O274" i="5"/>
  <c r="N274" i="5"/>
  <c r="M274" i="5"/>
  <c r="O273" i="5"/>
  <c r="N273" i="5"/>
  <c r="M273" i="5"/>
  <c r="Q272" i="5"/>
  <c r="P272" i="5"/>
  <c r="O272" i="5"/>
  <c r="N272" i="5"/>
  <c r="M272" i="5"/>
  <c r="O271" i="5"/>
  <c r="N271" i="5"/>
  <c r="M271" i="5"/>
  <c r="O270" i="5"/>
  <c r="N270" i="5"/>
  <c r="P270" i="5" s="1"/>
  <c r="M270" i="5"/>
  <c r="O269" i="5"/>
  <c r="N269" i="5"/>
  <c r="P269" i="5" s="1"/>
  <c r="M269" i="5"/>
  <c r="P268" i="5"/>
  <c r="O268" i="5"/>
  <c r="N268" i="5"/>
  <c r="M268" i="5"/>
  <c r="Q268" i="5" s="1"/>
  <c r="Q267" i="5"/>
  <c r="P267" i="5"/>
  <c r="O267" i="5"/>
  <c r="N267" i="5"/>
  <c r="M267" i="5"/>
  <c r="O266" i="5"/>
  <c r="N266" i="5"/>
  <c r="Q266" i="5" s="1"/>
  <c r="M266" i="5"/>
  <c r="P266" i="5" s="1"/>
  <c r="Q265" i="5"/>
  <c r="P265" i="5"/>
  <c r="O265" i="5"/>
  <c r="N265" i="5"/>
  <c r="M265" i="5"/>
  <c r="Q264" i="5"/>
  <c r="P264" i="5"/>
  <c r="O264" i="5"/>
  <c r="N264" i="5"/>
  <c r="M264" i="5"/>
  <c r="O263" i="5"/>
  <c r="N263" i="5"/>
  <c r="M263" i="5"/>
  <c r="Q262" i="5"/>
  <c r="O262" i="5"/>
  <c r="P262" i="5" s="1"/>
  <c r="N262" i="5"/>
  <c r="M262" i="5"/>
  <c r="O261" i="5"/>
  <c r="N261" i="5"/>
  <c r="M261" i="5"/>
  <c r="O260" i="5"/>
  <c r="N260" i="5"/>
  <c r="M260" i="5"/>
  <c r="Q260" i="5" s="1"/>
  <c r="Q259" i="5"/>
  <c r="P259" i="5"/>
  <c r="O259" i="5"/>
  <c r="N259" i="5"/>
  <c r="M259" i="5"/>
  <c r="O258" i="5"/>
  <c r="N258" i="5"/>
  <c r="M258" i="5"/>
  <c r="O257" i="5"/>
  <c r="N257" i="5"/>
  <c r="P257" i="5" s="1"/>
  <c r="M257" i="5"/>
  <c r="P256" i="5"/>
  <c r="O256" i="5"/>
  <c r="N256" i="5"/>
  <c r="M256" i="5"/>
  <c r="Q256" i="5" s="1"/>
  <c r="O255" i="5"/>
  <c r="N255" i="5"/>
  <c r="M255" i="5"/>
  <c r="O254" i="5"/>
  <c r="N254" i="5"/>
  <c r="Q254" i="5" s="1"/>
  <c r="M254" i="5"/>
  <c r="O253" i="5"/>
  <c r="N253" i="5"/>
  <c r="M253" i="5"/>
  <c r="P253" i="5" s="1"/>
  <c r="Q252" i="5"/>
  <c r="O252" i="5"/>
  <c r="P252" i="5" s="1"/>
  <c r="N252" i="5"/>
  <c r="M252" i="5"/>
  <c r="Q251" i="5"/>
  <c r="O251" i="5"/>
  <c r="N251" i="5"/>
  <c r="M251" i="5"/>
  <c r="O250" i="5"/>
  <c r="N250" i="5"/>
  <c r="M250" i="5"/>
  <c r="O249" i="5"/>
  <c r="N249" i="5"/>
  <c r="M249" i="5"/>
  <c r="Q248" i="5"/>
  <c r="P248" i="5"/>
  <c r="O248" i="5"/>
  <c r="N248" i="5"/>
  <c r="M248" i="5"/>
  <c r="O247" i="5"/>
  <c r="N247" i="5"/>
  <c r="M247" i="5"/>
  <c r="P246" i="5"/>
  <c r="O246" i="5"/>
  <c r="N246" i="5"/>
  <c r="M246" i="5"/>
  <c r="O245" i="5"/>
  <c r="N245" i="5"/>
  <c r="P245" i="5" s="1"/>
  <c r="M245" i="5"/>
  <c r="O244" i="5"/>
  <c r="N244" i="5"/>
  <c r="M244" i="5"/>
  <c r="Q244" i="5" s="1"/>
  <c r="Q243" i="5"/>
  <c r="P243" i="5"/>
  <c r="O243" i="5"/>
  <c r="N243" i="5"/>
  <c r="M243" i="5"/>
  <c r="O242" i="5"/>
  <c r="N242" i="5"/>
  <c r="Q242" i="5" s="1"/>
  <c r="M242" i="5"/>
  <c r="P242" i="5" s="1"/>
  <c r="O241" i="5"/>
  <c r="N241" i="5"/>
  <c r="Q241" i="5" s="1"/>
  <c r="M241" i="5"/>
  <c r="P241" i="5" s="1"/>
  <c r="Q240" i="5"/>
  <c r="P240" i="5"/>
  <c r="O240" i="5"/>
  <c r="N240" i="5"/>
  <c r="M240" i="5"/>
  <c r="O239" i="5"/>
  <c r="N239" i="5"/>
  <c r="M239" i="5"/>
  <c r="Q238" i="5"/>
  <c r="O238" i="5"/>
  <c r="P238" i="5" s="1"/>
  <c r="N238" i="5"/>
  <c r="M238" i="5"/>
  <c r="O237" i="5"/>
  <c r="N237" i="5"/>
  <c r="M237" i="5"/>
  <c r="O236" i="5"/>
  <c r="N236" i="5"/>
  <c r="M236" i="5"/>
  <c r="Q236" i="5" s="1"/>
  <c r="Q235" i="5"/>
  <c r="P235" i="5"/>
  <c r="O235" i="5"/>
  <c r="N235" i="5"/>
  <c r="M235" i="5"/>
  <c r="O234" i="5"/>
  <c r="N234" i="5"/>
  <c r="M234" i="5"/>
  <c r="O233" i="5"/>
  <c r="N233" i="5"/>
  <c r="Q233" i="5" s="1"/>
  <c r="M233" i="5"/>
  <c r="P232" i="5"/>
  <c r="O232" i="5"/>
  <c r="N232" i="5"/>
  <c r="M232" i="5"/>
  <c r="Q232" i="5" s="1"/>
  <c r="O231" i="5"/>
  <c r="N231" i="5"/>
  <c r="M231" i="5"/>
  <c r="Q230" i="5"/>
  <c r="O230" i="5"/>
  <c r="N230" i="5"/>
  <c r="M230" i="5"/>
  <c r="O229" i="5"/>
  <c r="N229" i="5"/>
  <c r="M229" i="5"/>
  <c r="P229" i="5" s="1"/>
  <c r="Q228" i="5"/>
  <c r="P228" i="5"/>
  <c r="O228" i="5"/>
  <c r="N228" i="5"/>
  <c r="M228" i="5"/>
  <c r="Q227" i="5"/>
  <c r="O227" i="5"/>
  <c r="N227" i="5"/>
  <c r="M227" i="5"/>
  <c r="O226" i="5"/>
  <c r="N226" i="5"/>
  <c r="M226" i="5"/>
  <c r="O225" i="5"/>
  <c r="N225" i="5"/>
  <c r="M225" i="5"/>
  <c r="Q224" i="5"/>
  <c r="P224" i="5"/>
  <c r="O224" i="5"/>
  <c r="N224" i="5"/>
  <c r="M224" i="5"/>
  <c r="O223" i="5"/>
  <c r="N223" i="5"/>
  <c r="M223" i="5"/>
  <c r="P222" i="5"/>
  <c r="O222" i="5"/>
  <c r="N222" i="5"/>
  <c r="M222" i="5"/>
  <c r="O221" i="5"/>
  <c r="N221" i="5"/>
  <c r="P221" i="5" s="1"/>
  <c r="M221" i="5"/>
  <c r="O220" i="5"/>
  <c r="N220" i="5"/>
  <c r="M220" i="5"/>
  <c r="Q220" i="5" s="1"/>
  <c r="Q219" i="5"/>
  <c r="P219" i="5"/>
  <c r="O219" i="5"/>
  <c r="N219" i="5"/>
  <c r="M219" i="5"/>
  <c r="O218" i="5"/>
  <c r="N218" i="5"/>
  <c r="Q218" i="5" s="1"/>
  <c r="M218" i="5"/>
  <c r="O217" i="5"/>
  <c r="N217" i="5"/>
  <c r="P217" i="5" s="1"/>
  <c r="M217" i="5"/>
  <c r="O216" i="5"/>
  <c r="N216" i="5"/>
  <c r="M216" i="5"/>
  <c r="O215" i="5"/>
  <c r="N215" i="5"/>
  <c r="M215" i="5"/>
  <c r="Q214" i="5"/>
  <c r="P214" i="5"/>
  <c r="O214" i="5"/>
  <c r="N214" i="5"/>
  <c r="M214" i="5"/>
  <c r="O213" i="5"/>
  <c r="N213" i="5"/>
  <c r="M213" i="5"/>
  <c r="P212" i="5"/>
  <c r="O212" i="5"/>
  <c r="N212" i="5"/>
  <c r="Q212" i="5" s="1"/>
  <c r="M212" i="5"/>
  <c r="Q211" i="5"/>
  <c r="O211" i="5"/>
  <c r="N211" i="5"/>
  <c r="M211" i="5"/>
  <c r="P211" i="5" s="1"/>
  <c r="O210" i="5"/>
  <c r="P210" i="5" s="1"/>
  <c r="N210" i="5"/>
  <c r="M210" i="5"/>
  <c r="Q210" i="5" s="1"/>
  <c r="Q209" i="5"/>
  <c r="O209" i="5"/>
  <c r="P209" i="5" s="1"/>
  <c r="N209" i="5"/>
  <c r="M209" i="5"/>
  <c r="O208" i="5"/>
  <c r="N208" i="5"/>
  <c r="M208" i="5"/>
  <c r="Q207" i="5"/>
  <c r="P207" i="5"/>
  <c r="O207" i="5"/>
  <c r="N207" i="5"/>
  <c r="M207" i="5"/>
  <c r="Q206" i="5"/>
  <c r="O206" i="5"/>
  <c r="N206" i="5"/>
  <c r="M206" i="5"/>
  <c r="P206" i="5" s="1"/>
  <c r="O205" i="5"/>
  <c r="N205" i="5"/>
  <c r="M205" i="5"/>
  <c r="P205" i="5" s="1"/>
  <c r="Q204" i="5"/>
  <c r="O204" i="5"/>
  <c r="P204" i="5" s="1"/>
  <c r="N204" i="5"/>
  <c r="M204" i="5"/>
  <c r="O203" i="5"/>
  <c r="N203" i="5"/>
  <c r="M203" i="5"/>
  <c r="O202" i="5"/>
  <c r="P202" i="5" s="1"/>
  <c r="N202" i="5"/>
  <c r="M202" i="5"/>
  <c r="Q202" i="5" s="1"/>
  <c r="P201" i="5"/>
  <c r="O201" i="5"/>
  <c r="N201" i="5"/>
  <c r="M201" i="5"/>
  <c r="Q201" i="5" s="1"/>
  <c r="O200" i="5"/>
  <c r="N200" i="5"/>
  <c r="M200" i="5"/>
  <c r="P199" i="5"/>
  <c r="O199" i="5"/>
  <c r="N199" i="5"/>
  <c r="Q199" i="5" s="1"/>
  <c r="M199" i="5"/>
  <c r="O198" i="5"/>
  <c r="N198" i="5"/>
  <c r="M198" i="5"/>
  <c r="Q198" i="5" s="1"/>
  <c r="O197" i="5"/>
  <c r="N197" i="5"/>
  <c r="Q197" i="5" s="1"/>
  <c r="M197" i="5"/>
  <c r="Q196" i="5"/>
  <c r="P196" i="5"/>
  <c r="O196" i="5"/>
  <c r="N196" i="5"/>
  <c r="M196" i="5"/>
  <c r="O195" i="5"/>
  <c r="N195" i="5"/>
  <c r="M195" i="5"/>
  <c r="O194" i="5"/>
  <c r="N194" i="5"/>
  <c r="Q194" i="5" s="1"/>
  <c r="M194" i="5"/>
  <c r="Q193" i="5"/>
  <c r="O193" i="5"/>
  <c r="N193" i="5"/>
  <c r="M193" i="5"/>
  <c r="P193" i="5" s="1"/>
  <c r="O192" i="5"/>
  <c r="N192" i="5"/>
  <c r="M192" i="5"/>
  <c r="Q192" i="5" s="1"/>
  <c r="Q191" i="5"/>
  <c r="O191" i="5"/>
  <c r="N191" i="5"/>
  <c r="M191" i="5"/>
  <c r="O190" i="5"/>
  <c r="N190" i="5"/>
  <c r="M190" i="5"/>
  <c r="O189" i="5"/>
  <c r="N189" i="5"/>
  <c r="M189" i="5"/>
  <c r="Q189" i="5" s="1"/>
  <c r="Q188" i="5"/>
  <c r="P188" i="5"/>
  <c r="O188" i="5"/>
  <c r="N188" i="5"/>
  <c r="M188" i="5"/>
  <c r="P187" i="5"/>
  <c r="O187" i="5"/>
  <c r="N187" i="5"/>
  <c r="M187" i="5"/>
  <c r="O186" i="5"/>
  <c r="N186" i="5"/>
  <c r="P186" i="5" s="1"/>
  <c r="M186" i="5"/>
  <c r="O185" i="5"/>
  <c r="N185" i="5"/>
  <c r="P185" i="5" s="1"/>
  <c r="M185" i="5"/>
  <c r="Q184" i="5"/>
  <c r="P184" i="5"/>
  <c r="O184" i="5"/>
  <c r="N184" i="5"/>
  <c r="M184" i="5"/>
  <c r="Q183" i="5"/>
  <c r="P183" i="5"/>
  <c r="O183" i="5"/>
  <c r="N183" i="5"/>
  <c r="M183" i="5"/>
  <c r="O182" i="5"/>
  <c r="N182" i="5"/>
  <c r="Q182" i="5" s="1"/>
  <c r="M182" i="5"/>
  <c r="P182" i="5" s="1"/>
  <c r="Q181" i="5"/>
  <c r="O181" i="5"/>
  <c r="P181" i="5" s="1"/>
  <c r="N181" i="5"/>
  <c r="M181" i="5"/>
  <c r="O180" i="5"/>
  <c r="N180" i="5"/>
  <c r="M180" i="5"/>
  <c r="O179" i="5"/>
  <c r="N179" i="5"/>
  <c r="M179" i="5"/>
  <c r="P179" i="5" s="1"/>
  <c r="Q178" i="5"/>
  <c r="P178" i="5"/>
  <c r="O178" i="5"/>
  <c r="N178" i="5"/>
  <c r="M178" i="5"/>
  <c r="O177" i="5"/>
  <c r="N177" i="5"/>
  <c r="M177" i="5"/>
  <c r="O176" i="5"/>
  <c r="N176" i="5"/>
  <c r="M176" i="5"/>
  <c r="P176" i="5" s="1"/>
  <c r="Q175" i="5"/>
  <c r="O175" i="5"/>
  <c r="N175" i="5"/>
  <c r="M175" i="5"/>
  <c r="P175" i="5" s="1"/>
  <c r="O174" i="5"/>
  <c r="N174" i="5"/>
  <c r="P174" i="5" s="1"/>
  <c r="M174" i="5"/>
  <c r="Q173" i="5"/>
  <c r="O173" i="5"/>
  <c r="P173" i="5" s="1"/>
  <c r="N173" i="5"/>
  <c r="M173" i="5"/>
  <c r="O172" i="5"/>
  <c r="N172" i="5"/>
  <c r="M172" i="5"/>
  <c r="O171" i="5"/>
  <c r="N171" i="5"/>
  <c r="M171" i="5"/>
  <c r="Q171" i="5" s="1"/>
  <c r="Q170" i="5"/>
  <c r="O170" i="5"/>
  <c r="N170" i="5"/>
  <c r="M170" i="5"/>
  <c r="P170" i="5" s="1"/>
  <c r="P169" i="5"/>
  <c r="O169" i="5"/>
  <c r="N169" i="5"/>
  <c r="M169" i="5"/>
  <c r="Q169" i="5" s="1"/>
  <c r="Q168" i="5"/>
  <c r="P168" i="5"/>
  <c r="O168" i="5"/>
  <c r="N168" i="5"/>
  <c r="M168" i="5"/>
  <c r="O167" i="5"/>
  <c r="N167" i="5"/>
  <c r="M167" i="5"/>
  <c r="Q166" i="5"/>
  <c r="O166" i="5"/>
  <c r="N166" i="5"/>
  <c r="M166" i="5"/>
  <c r="P166" i="5" s="1"/>
  <c r="P165" i="5"/>
  <c r="O165" i="5"/>
  <c r="N165" i="5"/>
  <c r="M165" i="5"/>
  <c r="Q165" i="5" s="1"/>
  <c r="O164" i="5"/>
  <c r="N164" i="5"/>
  <c r="M164" i="5"/>
  <c r="Q163" i="5"/>
  <c r="O163" i="5"/>
  <c r="N163" i="5"/>
  <c r="P163" i="5" s="1"/>
  <c r="M163" i="5"/>
  <c r="O162" i="5"/>
  <c r="N162" i="5"/>
  <c r="M162" i="5"/>
  <c r="Q162" i="5" s="1"/>
  <c r="O161" i="5"/>
  <c r="P161" i="5" s="1"/>
  <c r="N161" i="5"/>
  <c r="Q161" i="5" s="1"/>
  <c r="M161" i="5"/>
  <c r="Q160" i="5"/>
  <c r="P160" i="5"/>
  <c r="O160" i="5"/>
  <c r="N160" i="5"/>
  <c r="M160" i="5"/>
  <c r="O159" i="5"/>
  <c r="N159" i="5"/>
  <c r="M159" i="5"/>
  <c r="Q158" i="5"/>
  <c r="O158" i="5"/>
  <c r="N158" i="5"/>
  <c r="M158" i="5"/>
  <c r="Q157" i="5"/>
  <c r="O157" i="5"/>
  <c r="N157" i="5"/>
  <c r="M157" i="5"/>
  <c r="P157" i="5" s="1"/>
  <c r="O156" i="5"/>
  <c r="N156" i="5"/>
  <c r="M156" i="5"/>
  <c r="Q156" i="5" s="1"/>
  <c r="Q155" i="5"/>
  <c r="O155" i="5"/>
  <c r="N155" i="5"/>
  <c r="M155" i="5"/>
  <c r="O154" i="5"/>
  <c r="N154" i="5"/>
  <c r="M154" i="5"/>
  <c r="P153" i="5"/>
  <c r="O153" i="5"/>
  <c r="N153" i="5"/>
  <c r="M153" i="5"/>
  <c r="Q153" i="5" s="1"/>
  <c r="Q152" i="5"/>
  <c r="P152" i="5"/>
  <c r="O152" i="5"/>
  <c r="N152" i="5"/>
  <c r="M152" i="5"/>
  <c r="O151" i="5"/>
  <c r="N151" i="5"/>
  <c r="M151" i="5"/>
  <c r="Q151" i="5" s="1"/>
  <c r="O150" i="5"/>
  <c r="N150" i="5"/>
  <c r="P150" i="5" s="1"/>
  <c r="M150" i="5"/>
  <c r="O149" i="5"/>
  <c r="N149" i="5"/>
  <c r="P149" i="5" s="1"/>
  <c r="M149" i="5"/>
  <c r="O148" i="5"/>
  <c r="N148" i="5"/>
  <c r="M148" i="5"/>
  <c r="Q148" i="5" s="1"/>
  <c r="Q147" i="5"/>
  <c r="P147" i="5"/>
  <c r="O147" i="5"/>
  <c r="N147" i="5"/>
  <c r="M147" i="5"/>
  <c r="O146" i="5"/>
  <c r="N146" i="5"/>
  <c r="Q146" i="5" s="1"/>
  <c r="M146" i="5"/>
  <c r="O145" i="5"/>
  <c r="N145" i="5"/>
  <c r="Q145" i="5" s="1"/>
  <c r="M145" i="5"/>
  <c r="O144" i="5"/>
  <c r="N144" i="5"/>
  <c r="M144" i="5"/>
  <c r="Q143" i="5"/>
  <c r="O143" i="5"/>
  <c r="N143" i="5"/>
  <c r="M143" i="5"/>
  <c r="Q142" i="5"/>
  <c r="P142" i="5"/>
  <c r="O142" i="5"/>
  <c r="N142" i="5"/>
  <c r="M142" i="5"/>
  <c r="O141" i="5"/>
  <c r="N141" i="5"/>
  <c r="M141" i="5"/>
  <c r="Q140" i="5"/>
  <c r="P140" i="5"/>
  <c r="O140" i="5"/>
  <c r="N140" i="5"/>
  <c r="M140" i="5"/>
  <c r="Q139" i="5"/>
  <c r="O139" i="5"/>
  <c r="N139" i="5"/>
  <c r="M139" i="5"/>
  <c r="P139" i="5" s="1"/>
  <c r="O138" i="5"/>
  <c r="N138" i="5"/>
  <c r="M138" i="5"/>
  <c r="Q138" i="5" s="1"/>
  <c r="Q137" i="5"/>
  <c r="P137" i="5"/>
  <c r="O137" i="5"/>
  <c r="N137" i="5"/>
  <c r="M137" i="5"/>
  <c r="O136" i="5"/>
  <c r="N136" i="5"/>
  <c r="M136" i="5"/>
  <c r="O135" i="5"/>
  <c r="N135" i="5"/>
  <c r="M135" i="5"/>
  <c r="Q135" i="5" s="1"/>
  <c r="Q134" i="5"/>
  <c r="O134" i="5"/>
  <c r="N134" i="5"/>
  <c r="M134" i="5"/>
  <c r="P134" i="5" s="1"/>
  <c r="O133" i="5"/>
  <c r="N133" i="5"/>
  <c r="M133" i="5"/>
  <c r="Q133" i="5" s="1"/>
  <c r="Q132" i="5"/>
  <c r="O132" i="5"/>
  <c r="P132" i="5" s="1"/>
  <c r="N132" i="5"/>
  <c r="M132" i="5"/>
  <c r="O131" i="5"/>
  <c r="N131" i="5"/>
  <c r="M131" i="5"/>
  <c r="O130" i="5"/>
  <c r="N130" i="5"/>
  <c r="Q130" i="5" s="1"/>
  <c r="M130" i="5"/>
  <c r="P129" i="5"/>
  <c r="O129" i="5"/>
  <c r="N129" i="5"/>
  <c r="M129" i="5"/>
  <c r="Q129" i="5" s="1"/>
  <c r="O128" i="5"/>
  <c r="N128" i="5"/>
  <c r="M128" i="5"/>
  <c r="O127" i="5"/>
  <c r="N127" i="5"/>
  <c r="Q127" i="5" s="1"/>
  <c r="M127" i="5"/>
  <c r="O126" i="5"/>
  <c r="N126" i="5"/>
  <c r="M126" i="5"/>
  <c r="Q126" i="5" s="1"/>
  <c r="Q125" i="5"/>
  <c r="O125" i="5"/>
  <c r="N125" i="5"/>
  <c r="P125" i="5" s="1"/>
  <c r="M125" i="5"/>
  <c r="Q124" i="5"/>
  <c r="P124" i="5"/>
  <c r="O124" i="5"/>
  <c r="N124" i="5"/>
  <c r="M124" i="5"/>
  <c r="O123" i="5"/>
  <c r="N123" i="5"/>
  <c r="M123" i="5"/>
  <c r="O122" i="5"/>
  <c r="N122" i="5"/>
  <c r="Q122" i="5" s="1"/>
  <c r="M122" i="5"/>
  <c r="Q121" i="5"/>
  <c r="O121" i="5"/>
  <c r="N121" i="5"/>
  <c r="M121" i="5"/>
  <c r="P121" i="5" s="1"/>
  <c r="Q120" i="5"/>
  <c r="P120" i="5"/>
  <c r="O120" i="5"/>
  <c r="N120" i="5"/>
  <c r="M120" i="5"/>
  <c r="Q119" i="5"/>
  <c r="O119" i="5"/>
  <c r="N119" i="5"/>
  <c r="M119" i="5"/>
  <c r="O118" i="5"/>
  <c r="N118" i="5"/>
  <c r="M118" i="5"/>
  <c r="O117" i="5"/>
  <c r="P117" i="5" s="1"/>
  <c r="N117" i="5"/>
  <c r="M117" i="5"/>
  <c r="Q117" i="5" s="1"/>
  <c r="Q116" i="5"/>
  <c r="P116" i="5"/>
  <c r="O116" i="5"/>
  <c r="N116" i="5"/>
  <c r="M116" i="5"/>
  <c r="O115" i="5"/>
  <c r="N115" i="5"/>
  <c r="M115" i="5"/>
  <c r="Q115" i="5" s="1"/>
  <c r="P114" i="5"/>
  <c r="O114" i="5"/>
  <c r="N114" i="5"/>
  <c r="M114" i="5"/>
  <c r="O113" i="5"/>
  <c r="N113" i="5"/>
  <c r="P113" i="5" s="1"/>
  <c r="M113" i="5"/>
  <c r="O112" i="5"/>
  <c r="N112" i="5"/>
  <c r="M112" i="5"/>
  <c r="Q112" i="5" s="1"/>
  <c r="Q111" i="5"/>
  <c r="P111" i="5"/>
  <c r="O111" i="5"/>
  <c r="N111" i="5"/>
  <c r="M111" i="5"/>
  <c r="O110" i="5"/>
  <c r="N110" i="5"/>
  <c r="Q110" i="5" s="1"/>
  <c r="M110" i="5"/>
  <c r="O109" i="5"/>
  <c r="N109" i="5"/>
  <c r="P109" i="5" s="1"/>
  <c r="M109" i="5"/>
  <c r="O108" i="5"/>
  <c r="N108" i="5"/>
  <c r="M108" i="5"/>
  <c r="O107" i="5"/>
  <c r="N107" i="5"/>
  <c r="M107" i="5"/>
  <c r="Q106" i="5"/>
  <c r="P106" i="5"/>
  <c r="O106" i="5"/>
  <c r="N106" i="5"/>
  <c r="M106" i="5"/>
  <c r="O105" i="5"/>
  <c r="N105" i="5"/>
  <c r="M105" i="5"/>
  <c r="P104" i="5"/>
  <c r="O104" i="5"/>
  <c r="N104" i="5"/>
  <c r="Q104" i="5" s="1"/>
  <c r="M104" i="5"/>
  <c r="Q103" i="5"/>
  <c r="O103" i="5"/>
  <c r="N103" i="5"/>
  <c r="M103" i="5"/>
  <c r="P103" i="5" s="1"/>
  <c r="P102" i="5"/>
  <c r="O102" i="5"/>
  <c r="N102" i="5"/>
  <c r="M102" i="5"/>
  <c r="Q102" i="5" s="1"/>
  <c r="Q101" i="5"/>
  <c r="O101" i="5"/>
  <c r="P101" i="5" s="1"/>
  <c r="N101" i="5"/>
  <c r="M101" i="5"/>
  <c r="O100" i="5"/>
  <c r="N100" i="5"/>
  <c r="M100" i="5"/>
  <c r="Q99" i="5"/>
  <c r="P99" i="5"/>
  <c r="O99" i="5"/>
  <c r="N99" i="5"/>
  <c r="M99" i="5"/>
  <c r="Q98" i="5"/>
  <c r="O98" i="5"/>
  <c r="N98" i="5"/>
  <c r="M98" i="5"/>
  <c r="O97" i="5"/>
  <c r="N97" i="5"/>
  <c r="M97" i="5"/>
  <c r="P97" i="5" s="1"/>
  <c r="Q96" i="5"/>
  <c r="O96" i="5"/>
  <c r="P96" i="5" s="1"/>
  <c r="N96" i="5"/>
  <c r="M96" i="5"/>
  <c r="O95" i="5"/>
  <c r="N95" i="5"/>
  <c r="M95" i="5"/>
  <c r="O94" i="5"/>
  <c r="P94" i="5" s="1"/>
  <c r="N94" i="5"/>
  <c r="M94" i="5"/>
  <c r="Q94" i="5" s="1"/>
  <c r="P93" i="5"/>
  <c r="O93" i="5"/>
  <c r="N93" i="5"/>
  <c r="M93" i="5"/>
  <c r="Q93" i="5" s="1"/>
  <c r="O92" i="5"/>
  <c r="N92" i="5"/>
  <c r="P92" i="5" s="1"/>
  <c r="M92" i="5"/>
  <c r="Q91" i="5"/>
  <c r="P91" i="5"/>
  <c r="O91" i="5"/>
  <c r="N91" i="5"/>
  <c r="M91" i="5"/>
  <c r="O90" i="5"/>
  <c r="N90" i="5"/>
  <c r="M90" i="5"/>
  <c r="Q89" i="5"/>
  <c r="O89" i="5"/>
  <c r="N89" i="5"/>
  <c r="P89" i="5" s="1"/>
  <c r="M89" i="5"/>
  <c r="Q88" i="5"/>
  <c r="O88" i="5"/>
  <c r="N88" i="5"/>
  <c r="M88" i="5"/>
  <c r="P88" i="5" s="1"/>
  <c r="P87" i="5"/>
  <c r="O87" i="5"/>
  <c r="N87" i="5"/>
  <c r="Q87" i="5" s="1"/>
  <c r="M87" i="5"/>
  <c r="Q86" i="5"/>
  <c r="O86" i="5"/>
  <c r="N86" i="5"/>
  <c r="M86" i="5"/>
  <c r="O85" i="5"/>
  <c r="N85" i="5"/>
  <c r="M85" i="5"/>
  <c r="Q84" i="5"/>
  <c r="P84" i="5"/>
  <c r="O84" i="5"/>
  <c r="N84" i="5"/>
  <c r="M84" i="5"/>
  <c r="Q83" i="5"/>
  <c r="O83" i="5"/>
  <c r="N83" i="5"/>
  <c r="M83" i="5"/>
  <c r="P83" i="5" s="1"/>
  <c r="Q82" i="5"/>
  <c r="P82" i="5"/>
  <c r="O82" i="5"/>
  <c r="N82" i="5"/>
  <c r="M82" i="5"/>
  <c r="O81" i="5"/>
  <c r="P81" i="5" s="1"/>
  <c r="N81" i="5"/>
  <c r="M81" i="5"/>
  <c r="O80" i="5"/>
  <c r="N80" i="5"/>
  <c r="M80" i="5"/>
  <c r="Q79" i="5"/>
  <c r="P79" i="5"/>
  <c r="O79" i="5"/>
  <c r="N79" i="5"/>
  <c r="M79" i="5"/>
  <c r="Q78" i="5"/>
  <c r="O78" i="5"/>
  <c r="N78" i="5"/>
  <c r="M78" i="5"/>
  <c r="P78" i="5" s="1"/>
  <c r="O77" i="5"/>
  <c r="P77" i="5" s="1"/>
  <c r="N77" i="5"/>
  <c r="Q77" i="5" s="1"/>
  <c r="M77" i="5"/>
  <c r="Q76" i="5"/>
  <c r="P76" i="5"/>
  <c r="O76" i="5"/>
  <c r="N76" i="5"/>
  <c r="M76" i="5"/>
  <c r="O75" i="5"/>
  <c r="N75" i="5"/>
  <c r="M75" i="5"/>
  <c r="Q74" i="5"/>
  <c r="O74" i="5"/>
  <c r="N74" i="5"/>
  <c r="M74" i="5"/>
  <c r="Q73" i="5"/>
  <c r="O73" i="5"/>
  <c r="N73" i="5"/>
  <c r="M73" i="5"/>
  <c r="P73" i="5" s="1"/>
  <c r="O72" i="5"/>
  <c r="N72" i="5"/>
  <c r="M72" i="5"/>
  <c r="Q72" i="5" s="1"/>
  <c r="Q71" i="5"/>
  <c r="P71" i="5"/>
  <c r="O71" i="5"/>
  <c r="N71" i="5"/>
  <c r="M71" i="5"/>
  <c r="O70" i="5"/>
  <c r="N70" i="5"/>
  <c r="M70" i="5"/>
  <c r="O69" i="5"/>
  <c r="N69" i="5"/>
  <c r="M69" i="5"/>
  <c r="Q69" i="5" s="1"/>
  <c r="Q68" i="5"/>
  <c r="O68" i="5"/>
  <c r="N68" i="5"/>
  <c r="M68" i="5"/>
  <c r="P68" i="5" s="1"/>
  <c r="O67" i="5"/>
  <c r="N67" i="5"/>
  <c r="Q67" i="5" s="1"/>
  <c r="M67" i="5"/>
  <c r="Q66" i="5"/>
  <c r="P66" i="5"/>
  <c r="O66" i="5"/>
  <c r="N66" i="5"/>
  <c r="M66" i="5"/>
  <c r="O65" i="5"/>
  <c r="N65" i="5"/>
  <c r="M65" i="5"/>
  <c r="Q64" i="5"/>
  <c r="O64" i="5"/>
  <c r="P64" i="5" s="1"/>
  <c r="N64" i="5"/>
  <c r="M64" i="5"/>
  <c r="O63" i="5"/>
  <c r="N63" i="5"/>
  <c r="M63" i="5"/>
  <c r="Q62" i="5"/>
  <c r="O62" i="5"/>
  <c r="N62" i="5"/>
  <c r="M62" i="5"/>
  <c r="Q61" i="5"/>
  <c r="P61" i="5"/>
  <c r="O61" i="5"/>
  <c r="N61" i="5"/>
  <c r="M61" i="5"/>
  <c r="O60" i="5"/>
  <c r="N60" i="5"/>
  <c r="M60" i="5"/>
  <c r="Q59" i="5"/>
  <c r="P59" i="5"/>
  <c r="O59" i="5"/>
  <c r="N59" i="5"/>
  <c r="M59" i="5"/>
  <c r="O58" i="5"/>
  <c r="N58" i="5"/>
  <c r="M58" i="5"/>
  <c r="O57" i="5"/>
  <c r="N57" i="5"/>
  <c r="M57" i="5"/>
  <c r="Q57" i="5" s="1"/>
  <c r="Q56" i="5"/>
  <c r="P56" i="5"/>
  <c r="O56" i="5"/>
  <c r="N56" i="5"/>
  <c r="M56" i="5"/>
  <c r="O55" i="5"/>
  <c r="N55" i="5"/>
  <c r="M55" i="5"/>
  <c r="O54" i="5"/>
  <c r="N54" i="5"/>
  <c r="Q54" i="5" s="1"/>
  <c r="M54" i="5"/>
  <c r="O53" i="5"/>
  <c r="N53" i="5"/>
  <c r="P53" i="5" s="1"/>
  <c r="M53" i="5"/>
  <c r="O52" i="5"/>
  <c r="N52" i="5"/>
  <c r="M52" i="5"/>
  <c r="Q52" i="5" s="1"/>
  <c r="Q51" i="5"/>
  <c r="P51" i="5"/>
  <c r="O51" i="5"/>
  <c r="N51" i="5"/>
  <c r="M51" i="5"/>
  <c r="O50" i="5"/>
  <c r="N50" i="5"/>
  <c r="M50" i="5"/>
  <c r="O49" i="5"/>
  <c r="N49" i="5"/>
  <c r="P49" i="5" s="1"/>
  <c r="M49" i="5"/>
  <c r="O48" i="5"/>
  <c r="N48" i="5"/>
  <c r="M48" i="5"/>
  <c r="Q47" i="5"/>
  <c r="O47" i="5"/>
  <c r="N47" i="5"/>
  <c r="M47" i="5"/>
  <c r="P47" i="5" s="1"/>
  <c r="Q46" i="5"/>
  <c r="P46" i="5"/>
  <c r="O46" i="5"/>
  <c r="N46" i="5"/>
  <c r="M46" i="5"/>
  <c r="O45" i="5"/>
  <c r="N45" i="5"/>
  <c r="M45" i="5"/>
  <c r="O44" i="5"/>
  <c r="N44" i="5"/>
  <c r="Q44" i="5" s="1"/>
  <c r="M44" i="5"/>
  <c r="O43" i="5"/>
  <c r="N43" i="5"/>
  <c r="M43" i="5"/>
  <c r="Q42" i="5"/>
  <c r="P42" i="5"/>
  <c r="O42" i="5"/>
  <c r="N42" i="5"/>
  <c r="M42" i="5"/>
  <c r="Q41" i="5"/>
  <c r="P41" i="5"/>
  <c r="O41" i="5"/>
  <c r="N41" i="5"/>
  <c r="M41" i="5"/>
  <c r="O40" i="5"/>
  <c r="N40" i="5"/>
  <c r="M40" i="5"/>
  <c r="Q40" i="5" s="1"/>
  <c r="Q39" i="5"/>
  <c r="P39" i="5"/>
  <c r="O39" i="5"/>
  <c r="N39" i="5"/>
  <c r="M39" i="5"/>
  <c r="O38" i="5"/>
  <c r="N38" i="5"/>
  <c r="M38" i="5"/>
  <c r="O37" i="5"/>
  <c r="N37" i="5"/>
  <c r="M37" i="5"/>
  <c r="Q37" i="5" s="1"/>
  <c r="Q36" i="5"/>
  <c r="P36" i="5"/>
  <c r="O36" i="5"/>
  <c r="N36" i="5"/>
  <c r="M36" i="5"/>
  <c r="O35" i="5"/>
  <c r="N35" i="5"/>
  <c r="P35" i="5" s="1"/>
  <c r="M35" i="5"/>
  <c r="Q34" i="5"/>
  <c r="P34" i="5"/>
  <c r="O34" i="5"/>
  <c r="N34" i="5"/>
  <c r="M34" i="5"/>
  <c r="O33" i="5"/>
  <c r="N33" i="5"/>
  <c r="M33" i="5"/>
  <c r="O32" i="5"/>
  <c r="N32" i="5"/>
  <c r="M32" i="5"/>
  <c r="Q32" i="5" s="1"/>
  <c r="Q31" i="5"/>
  <c r="P31" i="5"/>
  <c r="O31" i="5"/>
  <c r="N31" i="5"/>
  <c r="M31" i="5"/>
  <c r="O30" i="5"/>
  <c r="N30" i="5"/>
  <c r="P30" i="5" s="1"/>
  <c r="M30" i="5"/>
  <c r="Q29" i="5"/>
  <c r="O29" i="5"/>
  <c r="P29" i="5" s="1"/>
  <c r="N29" i="5"/>
  <c r="M29" i="5"/>
  <c r="O28" i="5"/>
  <c r="N28" i="5"/>
  <c r="M28" i="5"/>
  <c r="O27" i="5"/>
  <c r="N27" i="5"/>
  <c r="M27" i="5"/>
  <c r="Q27" i="5" s="1"/>
  <c r="Q26" i="5"/>
  <c r="O26" i="5"/>
  <c r="N26" i="5"/>
  <c r="M26" i="5"/>
  <c r="P25" i="5"/>
  <c r="O25" i="5"/>
  <c r="N25" i="5"/>
  <c r="M25" i="5"/>
  <c r="Q25" i="5" s="1"/>
  <c r="Q24" i="5"/>
  <c r="P24" i="5"/>
  <c r="O24" i="5"/>
  <c r="N24" i="5"/>
  <c r="M24" i="5"/>
  <c r="O23" i="5"/>
  <c r="N23" i="5"/>
  <c r="M23" i="5"/>
  <c r="Q22" i="5"/>
  <c r="O22" i="5"/>
  <c r="N22" i="5"/>
  <c r="M22" i="5"/>
  <c r="P22" i="5" s="1"/>
  <c r="P21" i="5"/>
  <c r="O21" i="5"/>
  <c r="N21" i="5"/>
  <c r="M21" i="5"/>
  <c r="Q21" i="5" s="1"/>
  <c r="O20" i="5"/>
  <c r="N20" i="5"/>
  <c r="P20" i="5" s="1"/>
  <c r="M20" i="5"/>
  <c r="Q19" i="5"/>
  <c r="P19" i="5"/>
  <c r="O19" i="5"/>
  <c r="N19" i="5"/>
  <c r="M19" i="5"/>
  <c r="O18" i="5"/>
  <c r="N18" i="5"/>
  <c r="M18" i="5"/>
  <c r="P17" i="5"/>
  <c r="O17" i="5"/>
  <c r="N17" i="5"/>
  <c r="Q17" i="5" s="1"/>
  <c r="M17" i="5"/>
  <c r="Q16" i="5"/>
  <c r="O16" i="5"/>
  <c r="N16" i="5"/>
  <c r="M16" i="5"/>
  <c r="P16" i="5" s="1"/>
  <c r="O15" i="5"/>
  <c r="N15" i="5"/>
  <c r="M15" i="5"/>
  <c r="P15" i="5" s="1"/>
  <c r="Q14" i="5"/>
  <c r="O14" i="5"/>
  <c r="N14" i="5"/>
  <c r="M14" i="5"/>
  <c r="O13" i="5"/>
  <c r="N13" i="5"/>
  <c r="M13" i="5"/>
  <c r="O12" i="5"/>
  <c r="N12" i="5"/>
  <c r="M12" i="5"/>
  <c r="Q12" i="5" s="1"/>
  <c r="Q11" i="5"/>
  <c r="O11" i="5"/>
  <c r="N11" i="5"/>
  <c r="M11" i="5"/>
  <c r="P11" i="5" s="1"/>
  <c r="O10" i="5"/>
  <c r="N10" i="5"/>
  <c r="M10" i="5"/>
  <c r="Q10" i="5" s="1"/>
  <c r="O9" i="5"/>
  <c r="P9" i="5" s="1"/>
  <c r="N9" i="5"/>
  <c r="M9" i="5"/>
  <c r="O8" i="5"/>
  <c r="N8" i="5"/>
  <c r="M8" i="5"/>
  <c r="O7" i="5"/>
  <c r="N7" i="5"/>
  <c r="M7" i="5"/>
  <c r="Q7" i="5" s="1"/>
  <c r="Q6" i="5"/>
  <c r="O6" i="5"/>
  <c r="N6" i="5"/>
  <c r="M6" i="5"/>
  <c r="P6" i="5" s="1"/>
  <c r="Q5" i="5"/>
  <c r="O5" i="5"/>
  <c r="N5" i="5"/>
  <c r="M5" i="5"/>
  <c r="Q370" i="5" l="1"/>
  <c r="P370" i="5"/>
  <c r="P144" i="5"/>
  <c r="Q144" i="5"/>
  <c r="P223" i="5"/>
  <c r="Q223" i="5"/>
  <c r="Q321" i="5"/>
  <c r="P321" i="5"/>
  <c r="Q18" i="5"/>
  <c r="P18" i="5"/>
  <c r="Q35" i="5"/>
  <c r="P37" i="5"/>
  <c r="P43" i="5"/>
  <c r="Q43" i="5"/>
  <c r="P54" i="5"/>
  <c r="Q75" i="5"/>
  <c r="P75" i="5"/>
  <c r="Q92" i="5"/>
  <c r="Q118" i="5"/>
  <c r="P118" i="5"/>
  <c r="P135" i="5"/>
  <c r="Q159" i="5"/>
  <c r="P159" i="5"/>
  <c r="P194" i="5"/>
  <c r="Q346" i="5"/>
  <c r="P346" i="5"/>
  <c r="Q364" i="5"/>
  <c r="I32" i="6"/>
  <c r="I33" i="6" s="1"/>
  <c r="P63" i="5"/>
  <c r="Q63" i="5"/>
  <c r="P303" i="5"/>
  <c r="Q303" i="5"/>
  <c r="P12" i="5"/>
  <c r="Q282" i="5"/>
  <c r="P282" i="5"/>
  <c r="Q15" i="5"/>
  <c r="Q30" i="5"/>
  <c r="P32" i="5"/>
  <c r="P38" i="5"/>
  <c r="Q38" i="5"/>
  <c r="P55" i="5"/>
  <c r="Q55" i="5"/>
  <c r="P58" i="5"/>
  <c r="Q58" i="5"/>
  <c r="P69" i="5"/>
  <c r="P72" i="5"/>
  <c r="Q109" i="5"/>
  <c r="P112" i="5"/>
  <c r="P115" i="5"/>
  <c r="Q136" i="5"/>
  <c r="P136" i="5"/>
  <c r="P156" i="5"/>
  <c r="Q174" i="5"/>
  <c r="Q176" i="5"/>
  <c r="Q179" i="5"/>
  <c r="Q217" i="5"/>
  <c r="P220" i="5"/>
  <c r="Q257" i="5"/>
  <c r="P260" i="5"/>
  <c r="Q322" i="5"/>
  <c r="P322" i="5"/>
  <c r="Q340" i="5"/>
  <c r="P361" i="5"/>
  <c r="Q208" i="5"/>
  <c r="P208" i="5"/>
  <c r="Q141" i="5"/>
  <c r="P141" i="5"/>
  <c r="P40" i="5"/>
  <c r="P57" i="5"/>
  <c r="P203" i="5"/>
  <c r="Q203" i="5"/>
  <c r="Q70" i="5"/>
  <c r="P70" i="5"/>
  <c r="P107" i="5"/>
  <c r="P110" i="5"/>
  <c r="P127" i="5"/>
  <c r="P130" i="5"/>
  <c r="Q177" i="5"/>
  <c r="P177" i="5"/>
  <c r="P180" i="5"/>
  <c r="Q180" i="5"/>
  <c r="P197" i="5"/>
  <c r="P215" i="5"/>
  <c r="P218" i="5"/>
  <c r="P233" i="5"/>
  <c r="Q255" i="5"/>
  <c r="P255" i="5"/>
  <c r="Q258" i="5"/>
  <c r="P258" i="5"/>
  <c r="Q273" i="5"/>
  <c r="P273" i="5"/>
  <c r="P319" i="5"/>
  <c r="Q319" i="5"/>
  <c r="P359" i="5"/>
  <c r="Q359" i="5"/>
  <c r="P377" i="5"/>
  <c r="L25" i="6"/>
  <c r="P7" i="5"/>
  <c r="P10" i="5"/>
  <c r="P27" i="5"/>
  <c r="Q33" i="5"/>
  <c r="P33" i="5"/>
  <c r="Q49" i="5"/>
  <c r="P52" i="5"/>
  <c r="Q90" i="5"/>
  <c r="P90" i="5"/>
  <c r="P122" i="5"/>
  <c r="P133" i="5"/>
  <c r="Q154" i="5"/>
  <c r="P154" i="5"/>
  <c r="P171" i="5"/>
  <c r="Q195" i="5"/>
  <c r="P195" i="5"/>
  <c r="P236" i="5"/>
  <c r="Q298" i="5"/>
  <c r="P298" i="5"/>
  <c r="Q316" i="5"/>
  <c r="P337" i="5"/>
  <c r="P380" i="5"/>
  <c r="P239" i="5"/>
  <c r="Q239" i="5"/>
  <c r="P244" i="5"/>
  <c r="P383" i="5"/>
  <c r="Q383" i="5"/>
  <c r="P50" i="5"/>
  <c r="Q50" i="5"/>
  <c r="P67" i="5"/>
  <c r="Q128" i="5"/>
  <c r="P128" i="5"/>
  <c r="P131" i="5"/>
  <c r="Q131" i="5"/>
  <c r="P145" i="5"/>
  <c r="Q231" i="5"/>
  <c r="P231" i="5"/>
  <c r="Q234" i="5"/>
  <c r="P234" i="5"/>
  <c r="Q249" i="5"/>
  <c r="P249" i="5"/>
  <c r="P295" i="5"/>
  <c r="Q295" i="5"/>
  <c r="P335" i="5"/>
  <c r="Q335" i="5"/>
  <c r="P353" i="5"/>
  <c r="P375" i="5"/>
  <c r="Q375" i="5"/>
  <c r="Q378" i="5"/>
  <c r="P378" i="5"/>
  <c r="Q80" i="5"/>
  <c r="P80" i="5"/>
  <c r="P263" i="5"/>
  <c r="Q263" i="5"/>
  <c r="Q306" i="5"/>
  <c r="P306" i="5"/>
  <c r="Q200" i="5"/>
  <c r="P200" i="5"/>
  <c r="P279" i="5"/>
  <c r="Q279" i="5"/>
  <c r="L6" i="6"/>
  <c r="L7" i="6"/>
  <c r="L11" i="6"/>
  <c r="L12" i="6"/>
  <c r="L14" i="6"/>
  <c r="L15" i="6"/>
  <c r="L16" i="6"/>
  <c r="L23" i="6"/>
  <c r="L24" i="6"/>
  <c r="Q8" i="5"/>
  <c r="P8" i="5"/>
  <c r="P62" i="5"/>
  <c r="Q107" i="5"/>
  <c r="P148" i="5"/>
  <c r="P151" i="5"/>
  <c r="Q172" i="5"/>
  <c r="P172" i="5"/>
  <c r="P192" i="5"/>
  <c r="Q215" i="5"/>
  <c r="Q274" i="5"/>
  <c r="P274" i="5"/>
  <c r="P313" i="5"/>
  <c r="P356" i="5"/>
  <c r="Q100" i="5"/>
  <c r="P100" i="5"/>
  <c r="P367" i="5"/>
  <c r="Q367" i="5"/>
  <c r="Q95" i="5"/>
  <c r="P95" i="5"/>
  <c r="P138" i="5"/>
  <c r="Q297" i="5"/>
  <c r="P297" i="5"/>
  <c r="P343" i="5"/>
  <c r="Q343" i="5"/>
  <c r="Q13" i="5"/>
  <c r="P13" i="5"/>
  <c r="Q28" i="5"/>
  <c r="P28" i="5"/>
  <c r="P44" i="5"/>
  <c r="P5" i="5"/>
  <c r="Q65" i="5"/>
  <c r="P65" i="5"/>
  <c r="Q85" i="5"/>
  <c r="P85" i="5"/>
  <c r="Q105" i="5"/>
  <c r="P105" i="5"/>
  <c r="P108" i="5"/>
  <c r="Q108" i="5"/>
  <c r="P143" i="5"/>
  <c r="P146" i="5"/>
  <c r="Q187" i="5"/>
  <c r="P189" i="5"/>
  <c r="Q213" i="5"/>
  <c r="P213" i="5"/>
  <c r="P216" i="5"/>
  <c r="Q216" i="5"/>
  <c r="Q225" i="5"/>
  <c r="P225" i="5"/>
  <c r="P271" i="5"/>
  <c r="Q271" i="5"/>
  <c r="Q308" i="5"/>
  <c r="P311" i="5"/>
  <c r="Q311" i="5"/>
  <c r="P316" i="5"/>
  <c r="P351" i="5"/>
  <c r="Q351" i="5"/>
  <c r="Q354" i="5"/>
  <c r="P354" i="5"/>
  <c r="Q369" i="5"/>
  <c r="P369" i="5"/>
  <c r="Q226" i="5"/>
  <c r="P226" i="5"/>
  <c r="Q20" i="5"/>
  <c r="Q45" i="5"/>
  <c r="P45" i="5"/>
  <c r="P74" i="5"/>
  <c r="Q123" i="5"/>
  <c r="P123" i="5"/>
  <c r="P158" i="5"/>
  <c r="Q190" i="5"/>
  <c r="P190" i="5"/>
  <c r="Q250" i="5"/>
  <c r="P250" i="5"/>
  <c r="Q60" i="5"/>
  <c r="P60" i="5"/>
  <c r="Q23" i="5"/>
  <c r="P23" i="5"/>
  <c r="P48" i="5"/>
  <c r="Q48" i="5"/>
  <c r="Q97" i="5"/>
  <c r="Q164" i="5"/>
  <c r="P164" i="5"/>
  <c r="P167" i="5"/>
  <c r="Q167" i="5"/>
  <c r="Q205" i="5"/>
  <c r="Q247" i="5"/>
  <c r="P247" i="5"/>
  <c r="Q284" i="5"/>
  <c r="P287" i="5"/>
  <c r="Q287" i="5"/>
  <c r="P327" i="5"/>
  <c r="Q327" i="5"/>
  <c r="Q330" i="5"/>
  <c r="P330" i="5"/>
  <c r="Q345" i="5"/>
  <c r="P345" i="5"/>
  <c r="F32" i="6"/>
  <c r="Q9" i="5"/>
  <c r="P14" i="5"/>
  <c r="Q53" i="5"/>
  <c r="Q81" i="5"/>
  <c r="P86" i="5"/>
  <c r="Q113" i="5"/>
  <c r="P119" i="5"/>
  <c r="P126" i="5"/>
  <c r="Q149" i="5"/>
  <c r="P155" i="5"/>
  <c r="P162" i="5"/>
  <c r="Q185" i="5"/>
  <c r="P191" i="5"/>
  <c r="P198" i="5"/>
  <c r="Q221" i="5"/>
  <c r="Q229" i="5"/>
  <c r="Q245" i="5"/>
  <c r="Q253" i="5"/>
  <c r="Q269" i="5"/>
  <c r="Q277" i="5"/>
  <c r="Q293" i="5"/>
  <c r="Q301" i="5"/>
  <c r="Q317" i="5"/>
  <c r="Q325" i="5"/>
  <c r="Q341" i="5"/>
  <c r="Q349" i="5"/>
  <c r="Q365" i="5"/>
  <c r="Q373" i="5"/>
  <c r="C32" i="6"/>
  <c r="Q114" i="5"/>
  <c r="Q150" i="5"/>
  <c r="Q186" i="5"/>
  <c r="Q222" i="5"/>
  <c r="P230" i="5"/>
  <c r="Q246" i="5"/>
  <c r="P254" i="5"/>
  <c r="Q270" i="5"/>
  <c r="P278" i="5"/>
  <c r="Q294" i="5"/>
  <c r="P302" i="5"/>
  <c r="Q318" i="5"/>
  <c r="P326" i="5"/>
  <c r="Q342" i="5"/>
  <c r="P350" i="5"/>
  <c r="Q366" i="5"/>
  <c r="P374" i="5"/>
  <c r="D32" i="6"/>
  <c r="Q237" i="5"/>
  <c r="P237" i="5"/>
  <c r="Q285" i="5"/>
  <c r="P285" i="5"/>
  <c r="Q309" i="5"/>
  <c r="P309" i="5"/>
  <c r="Q333" i="5"/>
  <c r="P333" i="5"/>
  <c r="Q357" i="5"/>
  <c r="P357" i="5"/>
  <c r="Q381" i="5"/>
  <c r="P381" i="5"/>
  <c r="K32" i="6"/>
  <c r="P26" i="5"/>
  <c r="Q261" i="5"/>
  <c r="P261" i="5"/>
  <c r="P98" i="5"/>
  <c r="P227" i="5"/>
  <c r="P251" i="5"/>
  <c r="P275" i="5"/>
  <c r="P299" i="5"/>
  <c r="P323" i="5"/>
  <c r="P347" i="5"/>
  <c r="P371" i="5"/>
  <c r="B32" i="6"/>
  <c r="J33" i="6" s="1"/>
  <c r="L10" i="6"/>
  <c r="L22" i="6"/>
  <c r="L9" i="6"/>
  <c r="L21" i="6"/>
  <c r="L8" i="6"/>
  <c r="L20" i="6"/>
  <c r="L19" i="6"/>
  <c r="L31" i="6"/>
  <c r="L18" i="6"/>
  <c r="L30" i="6"/>
  <c r="L5" i="6"/>
  <c r="L17" i="6"/>
  <c r="L29" i="6"/>
  <c r="L28" i="6"/>
  <c r="L27" i="6"/>
  <c r="L26" i="6"/>
  <c r="L13" i="6"/>
  <c r="C33" i="6" l="1"/>
  <c r="H33" i="6"/>
  <c r="K33" i="6"/>
  <c r="G33" i="6"/>
  <c r="F33" i="6"/>
  <c r="E33" i="6"/>
  <c r="L32" i="6"/>
  <c r="D33" i="6"/>
</calcChain>
</file>

<file path=xl/sharedStrings.xml><?xml version="1.0" encoding="utf-8"?>
<sst xmlns="http://schemas.openxmlformats.org/spreadsheetml/2006/main" count="6099" uniqueCount="1669">
  <si>
    <t>AI STYLIST / DIGITAL WARDROBE - COMPETITIVE INTELLIGENCE FRAMEWORK</t>
  </si>
  <si>
    <t>Phase 1 deliverable - Market Map &amp; Master Feature Taxonomy</t>
  </si>
  <si>
    <t>HOW TO READ THIS WORKBOOK</t>
  </si>
  <si>
    <t>Version</t>
  </si>
  <si>
    <t>1.0</t>
  </si>
  <si>
    <t>Compiled</t>
  </si>
  <si>
    <t>26 August 2026</t>
  </si>
  <si>
    <t>Status</t>
  </si>
  <si>
    <t>LIVING DOCUMENT - update in place rather than starting over. Add new features as rows; split a row into two when two apparently identical features turn out to be materially different.</t>
  </si>
  <si>
    <t>SHEET GUIDE</t>
  </si>
  <si>
    <t>2. Competitive Universe</t>
  </si>
  <si>
    <t>Direct / Adjacent / Emerging products with company, geography, model, scale and an EVIDENCE CONFIDENCE column.</t>
  </si>
  <si>
    <t>3. Product Archetypes</t>
  </si>
  <si>
    <t>Nine archetypes and the migration pattern between them.</t>
  </si>
  <si>
    <t>4. Jobs To Be Done</t>
  </si>
  <si>
    <t>Stated job vs UNDERLYING job for each product, plus three structural insights.</t>
  </si>
  <si>
    <t>5. Feature Matrix</t>
  </si>
  <si>
    <t>THE KEY DELIVERABLE. ~330 granular capabilities x 9 products. Filterable by Category. Auto-calculated coverage columns on the right.</t>
  </si>
  <si>
    <t>6. Coverage Summary</t>
  </si>
  <si>
    <t>Formula-driven roll-up: how many capabilities each product has, by category. Nothing is hardcoded here.</t>
  </si>
  <si>
    <t>7. Sophistication Scores</t>
  </si>
  <si>
    <t>1-4 depth ratings for major features, where 'has the feature' and 'is good at it' diverge most.</t>
  </si>
  <si>
    <t>8. AI Intelligence Layer</t>
  </si>
  <si>
    <t>What is ACTUALLY under the hood, separated from the marketing label.</t>
  </si>
  <si>
    <t>9. Table Stakes vs Diff.</t>
  </si>
  <si>
    <t>Classification of every capability into Table Stakes / Differentiator / Emerging.</t>
  </si>
  <si>
    <t>10. Research Gaps</t>
  </si>
  <si>
    <t>20 prioritised open questions with a method for closing each. Work the Tier 1 list first.</t>
  </si>
  <si>
    <t>11. Sources &amp; Reliability</t>
  </si>
  <si>
    <t>Every source used, what it was used for, and how much to trust it.</t>
  </si>
  <si>
    <t>LEGEND - FEATURE MATRIX SYMBOLS</t>
  </si>
  <si>
    <t>✓</t>
  </si>
  <si>
    <t>Clearly available</t>
  </si>
  <si>
    <t>◐</t>
  </si>
  <si>
    <t>Partially available / limited / gated behind a paywall</t>
  </si>
  <si>
    <t>—</t>
  </si>
  <si>
    <t>Not available</t>
  </si>
  <si>
    <t>?</t>
  </si>
  <si>
    <t>Unclear - requires verification</t>
  </si>
  <si>
    <t>Suffix: AI</t>
  </si>
  <si>
    <t>Explicitly AI-powered (e.g. ✓AI)</t>
  </si>
  <si>
    <t>Suffix: H</t>
  </si>
  <si>
    <t>Human-powered (e.g. ✓H)</t>
  </si>
  <si>
    <t>Suffix: man</t>
  </si>
  <si>
    <t>Manual only (e.g. ✓man - Stylebook)</t>
  </si>
  <si>
    <t>Suffix: paid</t>
  </si>
  <si>
    <t>Available but paywalled</t>
  </si>
  <si>
    <t>Suffix: roadmap</t>
  </si>
  <si>
    <t>Announced or funded but not yet shipped</t>
  </si>
  <si>
    <t>LEGEND - SOPHISTICATION SCORES (Sheet 7)</t>
  </si>
  <si>
    <t>1</t>
  </si>
  <si>
    <t>Basic implementation</t>
  </si>
  <si>
    <t>2</t>
  </si>
  <si>
    <t>Moderate</t>
  </si>
  <si>
    <t>3</t>
  </si>
  <si>
    <t>Sophisticated</t>
  </si>
  <si>
    <t>4</t>
  </si>
  <si>
    <t>Highly differentiated</t>
  </si>
  <si>
    <t>Insufficient information</t>
  </si>
  <si>
    <t>n/a</t>
  </si>
  <si>
    <t>Product does not attempt this capability</t>
  </si>
  <si>
    <t>COLUMN CODES</t>
  </si>
  <si>
    <t>WHE / ACL / IND / CLA / STB</t>
  </si>
  <si>
    <t>Whering / Acloset / Indyx / Cladwell / Stylebook</t>
  </si>
  <si>
    <t>ALT / PRO / PUR / VES</t>
  </si>
  <si>
    <t>Alta / Pronti / Pureple / Vesta Wardrobe</t>
  </si>
  <si>
    <t>Referenced in Notes</t>
  </si>
  <si>
    <t>GW = GetWardrobe, SD = Style DNA, SYW = Save Your Wardrobe, CBY = Combyne, SF = Stitch Fix</t>
  </si>
  <si>
    <t>*** EVIDENCE CAVEAT - READ THIS ***</t>
  </si>
  <si>
    <t>Where the marks come from</t>
  </si>
  <si>
    <t>Unless a Note says otherwise, marks derive from App Store / Google Play listings, official websites and release notes - i.e. VENDOR MARKETING COPY. This systematically OVERSTATES capability, especially for anything labelled 'AI'.</t>
  </si>
  <si>
    <t>How to read a tick</t>
  </si>
  <si>
    <t>Treat ✓ as 'claimed and plausible', NOT as 'verified working well'. Recommendation QUALITY is unverified for every product in this workbook.</t>
  </si>
  <si>
    <t>Cross-checking</t>
  </si>
  <si>
    <t>Marks were cross-checked against user reviews, independent reviews and press wherever possible. Disagreements between sources are flagged in the Notes column and on Sheet 10.</t>
  </si>
  <si>
    <t>The comparison-blog trap</t>
  </si>
  <si>
    <t>Most Google results for 'best wardrobe app 2026' are content marketing published BY small wardrobe apps. Those were used only for leads to discover products, never as evidence about a competitor. See Sheet 11.</t>
  </si>
  <si>
    <t>AI-generated company profiles</t>
  </si>
  <si>
    <t>Several 'company profile' sites produce confident, unsourced financials that appear LLM-generated. Excluded. See Sheet 11.</t>
  </si>
  <si>
    <t>TWO OBSERVATIONS TO CARRY INTO PHASE 2</t>
  </si>
  <si>
    <t>1. Cold start</t>
  </si>
  <si>
    <t>The category has an unsolved cold-start problem and a solved-but-unshipped solution. Every qualitative source converges on the same failure: cataloguing is tedious and people abandon before value. Acloset partly solved it (inbox + multi-item photo parsing). Whering has FUNDED the fuller solution (camera-roll scanning) but not shipped it. Indyx solved it with humans. Nobody has solved it cheaply, at scale, in software.</t>
  </si>
  <si>
    <t>2. Commoditisation</t>
  </si>
  <si>
    <t>The category has commoditised at both ends and hollowed in the middle. Ingestion (CV) and visualisation (genAI) are now API calls available to any solo developer - hence dozens of near-identical apps in 18 months. The genuinely hard middle - a learned taste model that actually improves - remains unbuilt by anyone.</t>
  </si>
  <si>
    <t>NOT INCLUDED</t>
  </si>
  <si>
    <t>As instructed: no verdict on which product is best, what to copy, what an MVP should be, or whether the market is attractive. Those are Phase 2+ questions.</t>
  </si>
  <si>
    <t>COMPETITIVE UNIVERSE</t>
  </si>
  <si>
    <t>A = Direct competitors | B = Adjacent | C = Emerging. 'Evidence confidence' states how much to trust each row.</t>
  </si>
  <si>
    <t>Tier</t>
  </si>
  <si>
    <t>Product</t>
  </si>
  <si>
    <t>Company</t>
  </si>
  <si>
    <t>Geography</t>
  </si>
  <si>
    <t>Launch</t>
  </si>
  <si>
    <t>Core proposition</t>
  </si>
  <si>
    <t>Primary user</t>
  </si>
  <si>
    <t>Product archetype</t>
  </si>
  <si>
    <t>Key differentiator</t>
  </si>
  <si>
    <t>Business model</t>
  </si>
  <si>
    <t>Platforms</t>
  </si>
  <si>
    <t>Approx. scale / funding</t>
  </si>
  <si>
    <t>Evidence confidence</t>
  </si>
  <si>
    <t>A. Direct</t>
  </si>
  <si>
    <t>Whering</t>
  </si>
  <si>
    <t>Whering Ltd</t>
  </si>
  <si>
    <t>London, UK</t>
  </si>
  <si>
    <t>2020-21 (sources disagree)</t>
  </si>
  <si>
    <t>Digital wardrobe + social styling + sustainability</t>
  </si>
  <si>
    <t>Gen Z women, sustainability-leaning</t>
  </si>
  <si>
    <t>Digital closet first, drifting to AI + resale</t>
  </si>
  <si>
    <t>Scale + community + circularity brand</t>
  </si>
  <si>
    <t>Freemium; resale/affiliate ambitions</t>
  </si>
  <si>
    <t>iOS, Android, Web</t>
  </si>
  <si>
    <t>10M users (Jul 2026); $7M seed led by eBay Ventures + Google AI Futures Fund; ~$14M total; ~14 staff (Tracxn, mid-2024)</t>
  </si>
  <si>
    <t>High (WWD, Tech.eu, TheIndustry.fashion)</t>
  </si>
  <si>
    <t>Acloset</t>
  </si>
  <si>
    <t>Looko Inc.</t>
  </si>
  <si>
    <t>Seoul, South Korea</t>
  </si>
  <si>
    <t>2020</t>
  </si>
  <si>
    <t>AI fashion assistant: auto-digitisation + chat stylist</t>
  </si>
  <si>
    <t>Global, 8+ languages</t>
  </si>
  <si>
    <t>AI stylist first (on a closet base)</t>
  </si>
  <si>
    <t>Best-in-class ingestion: Gmail receipts, retailer import, multi-item photo parsing</t>
  </si>
  <si>
    <t>Freemium (100-item free cap); sub tiers; ad-supported tier</t>
  </si>
  <si>
    <t>iOS, Android</t>
  </si>
  <si>
    <t>Claims range 4M / 7M / 8M users - INCONSISTENT. Funding DISPUTED: $2.57M (CB Insights) vs $63M Series C (startuphub.ai, low confidence)</t>
  </si>
  <si>
    <t>Medium (features high, scale/funding low)</t>
  </si>
  <si>
    <t>Indyx</t>
  </si>
  <si>
    <t>Indyx Inc.</t>
  </si>
  <si>
    <t>USA</t>
  </si>
  <si>
    <t>~2022</t>
  </si>
  <si>
    <t>Free best-in-class closet + paid human stylist Lookbooks</t>
  </si>
  <si>
    <t>US women 25-45, style-invested</t>
  </si>
  <si>
    <t>Human stylist first, on a closet substrate</t>
  </si>
  <si>
    <t>Real stylists + in-home professional cataloguing ('Archivist')</t>
  </si>
  <si>
    <t>Free core; 'Insider' sub ~$9/mo; paid styling services</t>
  </si>
  <si>
    <t>Not publicly disclosed</t>
  </si>
  <si>
    <t>High on features (detailed store listing + 2 independent reviews)</t>
  </si>
  <si>
    <t>Cladwell</t>
  </si>
  <si>
    <t>The Cladwell Group, Inc.</t>
  </si>
  <si>
    <t>Cincinnati, USA</t>
  </si>
  <si>
    <t>2016</t>
  </si>
  <si>
    <t>Capsule wardrobe + daily outfit prescription</t>
  </si>
  <si>
    <t>Intentional-living / minimalist women</t>
  </si>
  <si>
    <t>Wardrobe philosophy first</t>
  </si>
  <si>
    <t>Capsule methodology + course content</t>
  </si>
  <si>
    <t>CONFLICTING: free-for-life claims vs $60-79/yr</t>
  </si>
  <si>
    <t>1M+ downloads; company claims 13M items catalogued, 100M outfits suggested, 3.5M styling sessions</t>
  </si>
  <si>
    <t>Medium (pricing and calendar features contradict across sources)</t>
  </si>
  <si>
    <t>Stylebook</t>
  </si>
  <si>
    <t>Left Brain / Right Brain LLC</t>
  </si>
  <si>
    <t>2010</t>
  </si>
  <si>
    <t>Manual, exhaustive wardrobe database + analytics</t>
  </si>
  <si>
    <t>Detail-obsessed power users</t>
  </si>
  <si>
    <t>Wardrobe analytics first</t>
  </si>
  <si>
    <t>Depth of manual control; one-time price; NO AI</t>
  </si>
  <si>
    <t>One-time purchase (~$4.99-5.99)</t>
  </si>
  <si>
    <t>iOS ONLY</t>
  </si>
  <si>
    <t>Long tail; the category's original product</t>
  </si>
  <si>
    <t>High (consistent across many independent reviews)</t>
  </si>
  <si>
    <t>Alta</t>
  </si>
  <si>
    <t>New York, USA (moved from SF)</t>
  </si>
  <si>
    <t>2025</t>
  </si>
  <si>
    <t>AI styling agent + avatar try-on + agentic shopping</t>
  </si>
  <si>
    <t>Fashion-engaged US women</t>
  </si>
  <si>
    <t>AI stylist + shopping first</t>
  </si>
  <si>
    <t>12+ in-house-trained fashion-specific generative models; avatar try-on mixing owned + new items</t>
  </si>
  <si>
    <t>Affiliate/commerce; 4,000+ brand partnerships; emerging enterprise/white-label</t>
  </si>
  <si>
    <t>iOS (+ embedded brand experience)</t>
  </si>
  <si>
    <t>$11M seed led by Menlo Ventures. Investors incl. Aglae (LVMH-linked), Anthology Fund, Karlie Kloss, Jasmine Tookes, Jenny Fleiss, Tony Xu. CFDA partnership; Marie Kondo APAC collab</t>
  </si>
  <si>
    <t>High on funding/press; LOW on verified product depth</t>
  </si>
  <si>
    <t>Pronti</t>
  </si>
  <si>
    <t>Pronti AI Inc.</t>
  </si>
  <si>
    <t>Waterloo, Canada</t>
  </si>
  <si>
    <t>2021</t>
  </si>
  <si>
    <t>Conversational AI stylist grounded in your real closet</t>
  </si>
  <si>
    <t>Women + men + non-binary (5-point gender slider)</t>
  </si>
  <si>
    <t>AI fashion companion</t>
  </si>
  <si>
    <t>'PAI' chat stylist explicitly grounded in the user's own items; Shopify app for retailers</t>
  </si>
  <si>
    <t>Free; affiliate + ads + premium + AI chat credits</t>
  </si>
  <si>
    <t>Viral TikTok moment (2M+ views); briefly #2 App Store Lifestyle (CA)</t>
  </si>
  <si>
    <t>High on features (detailed release notes); low on scale</t>
  </si>
  <si>
    <t>Pureple</t>
  </si>
  <si>
    <t>Iceclip / ICECLIP LLC</t>
  </si>
  <si>
    <t>2013</t>
  </si>
  <si>
    <t>Outfit planner + virtual closet + AI try-on</t>
  </si>
  <si>
    <t>Broad, value-conscious</t>
  </si>
  <si>
    <t>Outfit planner first</t>
  </si>
  <si>
    <t>Longevity + breadth; AI try-on on a model</t>
  </si>
  <si>
    <t>Freemium; aggressive sub ($6.99/wk - $89.99/yr); heavy ads</t>
  </si>
  <si>
    <t>Claims 3M+ users; ~2.5M+ Play downloads per third party</t>
  </si>
  <si>
    <t>Medium (pricing varies by source and date)</t>
  </si>
  <si>
    <t>GetWardrobe</t>
  </si>
  <si>
    <t>3Botinka LLC</t>
  </si>
  <si>
    <t>Eastern Europe origin</t>
  </si>
  <si>
    <t>Cross-platform closet + AI outfit generator + family wardrobes</t>
  </si>
  <si>
    <t>Data-inclined planners, families</t>
  </si>
  <si>
    <t>Digital closet + planner</t>
  </si>
  <si>
    <t>Family wardrobes; stylist client dashboard; iOS/Android/macOS/WEB</t>
  </si>
  <si>
    <t>Freemium (100 items free) + Premium sub</t>
  </si>
  <si>
    <t>iOS, Android, macOS, Web</t>
  </si>
  <si>
    <t>Claims 3M+ users across 39 countries; ~4,174 iOS + ~4,848 Play ratings</t>
  </si>
  <si>
    <t>Medium-High</t>
  </si>
  <si>
    <t>Vesta Wardrobe</t>
  </si>
  <si>
    <t>Meg Tech Inc.</t>
  </si>
  <si>
    <t>AI stylist + style archetype + calendar</t>
  </si>
  <si>
    <t>Early adopters</t>
  </si>
  <si>
    <t>AI stylist first (thin)</t>
  </si>
  <si>
    <t>Style-archetype framing; swipe-based taste learning</t>
  </si>
  <si>
    <t>Freemium</t>
  </si>
  <si>
    <t>iOS</t>
  </si>
  <si>
    <t>VERY SMALL. NAME COLLISION WARNING: 'Vesta', 'Vestia', 'Vestra', 'Vesta AI' are four different products</t>
  </si>
  <si>
    <t>Low-Medium (few reviews; AI quality disputed by reviewers)</t>
  </si>
  <si>
    <t>Smart Closet</t>
  </si>
  <si>
    <t>Various listings</t>
  </si>
  <si>
    <t>Korea / US</t>
  </si>
  <si>
    <t>~2017</t>
  </si>
  <si>
    <t>Closet + trending outfits + shop</t>
  </si>
  <si>
    <t>Broad</t>
  </si>
  <si>
    <t>Digital closet + shopping</t>
  </si>
  <si>
    <t>Shopping-adjacent closet</t>
  </si>
  <si>
    <t>Freemium / one-time</t>
  </si>
  <si>
    <t>Widely described as stagnant / unmaintained in independent reviews</t>
  </si>
  <si>
    <t>Low</t>
  </si>
  <si>
    <t>Fits</t>
  </si>
  <si>
    <t>fits-app.com</t>
  </si>
  <si>
    <t>EU</t>
  </si>
  <si>
    <t>2023</t>
  </si>
  <si>
    <t>Minimalist styling assistant; mannequin-based outfit maker</t>
  </si>
  <si>
    <t>Design-conscious minimalists</t>
  </si>
  <si>
    <t>Digital closet first</t>
  </si>
  <si>
    <t>Swipe-a-mannequin outfit builder; 'less is better'</t>
  </si>
  <si>
    <t>Small</t>
  </si>
  <si>
    <t>Low-Medium (primary source is the company's own blog)</t>
  </si>
  <si>
    <t>Save Your Wardrobe (consumer app)</t>
  </si>
  <si>
    <t>Save Your Wardrobe</t>
  </si>
  <si>
    <t>2017</t>
  </si>
  <si>
    <t>Wardrobe + aftercare booking + Good On You ratings</t>
  </si>
  <si>
    <t>Sustainability-first users</t>
  </si>
  <si>
    <t>Sustainability / circular first</t>
  </si>
  <si>
    <t>Aftercare service network</t>
  </si>
  <si>
    <t>B2B SaaS is now the real business</t>
  </si>
  <si>
    <t>~$3M seed (2022); LVMH Innovation Award 2023; Zalando, Sandro, Maje partnerships</t>
  </si>
  <si>
    <t>High on B2B; NOTE: public financial claims found were AI-generated - discarded</t>
  </si>
  <si>
    <t>A. Direct (long tail)</t>
  </si>
  <si>
    <t>Closetly, Outflik, Wardrowbe, Nouva, StylePal, Clueless, Capsule Wardrobe AI, OpenWardrobe, My Dressing, XZ Closet, Bantoa, Closet+, LookScope, Fitted, WearMe, 10outfits, AI Dresser, AIStyle, Libre Closet</t>
  </si>
  <si>
    <t>Various</t>
  </si>
  <si>
    <t>Global</t>
  </si>
  <si>
    <t>Mostly 2023-2026</t>
  </si>
  <si>
    <t>Near-identical: snap &gt; auto-tag &gt; AI outfit &gt; calendar &gt; packing &gt; CPW</t>
  </si>
  <si>
    <t>Varies</t>
  </si>
  <si>
    <t>Mostly none; a few genuine (Wardrowbe open-source/self-host; Outflik social-first capture)</t>
  </si>
  <si>
    <t>Freemium / subs</t>
  </si>
  <si>
    <t>STRUCTURAL SIGNAL: the table-stakes layer has been commoditised to near-zero build cost in ~18 months</t>
  </si>
  <si>
    <t>Low - many are thin wrappers over commodity vision + LLM APIs</t>
  </si>
  <si>
    <t>B. Adjacent</t>
  </si>
  <si>
    <t>Stitch Fix</t>
  </si>
  <si>
    <t>Stitch Fix Inc.</t>
  </si>
  <si>
    <t>2011</t>
  </si>
  <si>
    <t>Human stylist + algorithm curated shipments; now + genAI visualisation</t>
  </si>
  <si>
    <t>US women and men</t>
  </si>
  <si>
    <t>Human stylist first, AI-augmented</t>
  </si>
  <si>
    <t>'Stitch Fix Vision' (Oct 2025) curates full outfits; 'See it on me' (Jun 2026) renders the client in the look</t>
  </si>
  <si>
    <t>Styling fee + merchandise margin</t>
  </si>
  <si>
    <t>~2.31M active clients; $340.3M Q3 FY26 revenue (+4.7%); Vision users showed &gt;100% lift in Freestyle spend over 90 days</t>
  </si>
  <si>
    <t>High (public company; earnings calls)</t>
  </si>
  <si>
    <t>Wishi</t>
  </si>
  <si>
    <t>Wishi (fnd. Karla Welch + Clea O'Hana)</t>
  </si>
  <si>
    <t>USA / Israel</t>
  </si>
  <si>
    <t>~2015</t>
  </si>
  <si>
    <t>Match with a human stylist; shoppable style boards incl. your own closet</t>
  </si>
  <si>
    <t>Affluent-ish women</t>
  </si>
  <si>
    <t>Human stylist first</t>
  </si>
  <si>
    <t>Celebrity-stylist pedigree; genuinely human</t>
  </si>
  <si>
    <t>Session packages + monthly memberships</t>
  </si>
  <si>
    <t>iOS, Web</t>
  </si>
  <si>
    <t>Hundreds of stylists</t>
  </si>
  <si>
    <t>Medium</t>
  </si>
  <si>
    <t>Phia</t>
  </si>
  <si>
    <t>Phia (Phoebe Gates, Sophia Kianni)</t>
  </si>
  <si>
    <t>New York, USA</t>
  </si>
  <si>
    <t>Apr 2025</t>
  </si>
  <si>
    <t>Shopping agent embedded in the browsing flow; price + resale comparison</t>
  </si>
  <si>
    <t>Value-conscious online shoppers</t>
  </si>
  <si>
    <t>Shopping agent first</t>
  </si>
  <si>
    <t>Live resale surfacing across The RealReal, Poshmark, Vestiaire while you browse</t>
  </si>
  <si>
    <t>Affiliate / brand economics</t>
  </si>
  <si>
    <t>Web / browser extension, app</t>
  </si>
  <si>
    <t>$35M Series A at $185M valuation (Jan 2026); 1M+ users and 6,200+ brands in 10 months; 11x revenue growth; brands report +13% conversion, +15% AOV, -50% returns</t>
  </si>
  <si>
    <t>High (press release + Forbes + trade press)</t>
  </si>
  <si>
    <t>Daydream</t>
  </si>
  <si>
    <t>Daydream (Julie Bornstein, ex-Stitch Fix / Sephora)</t>
  </si>
  <si>
    <t>San Francisco, USA</t>
  </si>
  <si>
    <t>Beta Jun 2025</t>
  </si>
  <si>
    <t>Natural-language + image fashion search across a huge catalogue</t>
  </si>
  <si>
    <t>Fashion shoppers</t>
  </si>
  <si>
    <t>Shopping / discovery first</t>
  </si>
  <si>
    <t>Multiple AI models interpreting occasion, seasonality and personal style rather than keywords</t>
  </si>
  <si>
    <t>Affiliate + B2B licensing</t>
  </si>
  <si>
    <t>Web</t>
  </si>
  <si>
    <t>$50M seed (Forerunner, Index, GV, True). ~2M products, 10,000+ brands. 'Powered by Daydream' B2B launched Jul 2026 with STAUD, Alice + Olivia, Anine Bing, Sandro, Maje +25 more</t>
  </si>
  <si>
    <t>High</t>
  </si>
  <si>
    <t>Glance AI</t>
  </si>
  <si>
    <t>Glance (InMobi subsidiary; Google + Jio backed)</t>
  </si>
  <si>
    <t>Singapore / India</t>
  </si>
  <si>
    <t>May 2025</t>
  </si>
  <si>
    <t>Selfie &gt; photoreal AI looks on your likeness &gt; shoppable</t>
  </si>
  <si>
    <t>Mass-market Android users</t>
  </si>
  <si>
    <t>AI try-on + inspiration commerce</t>
  </si>
  <si>
    <t>DISTRIBUTION VIA LOCK SCREEN / OEM PREINSTALL (Samsung, Motorola, AT&amp;T 'Lynk')</t>
  </si>
  <si>
    <t>Commerce / affiliate + ads</t>
  </si>
  <si>
    <t>iOS, Android, OEM lock screen</t>
  </si>
  <si>
    <t>Glance FY25 revenue $97.6M (+33%), pre-tax loss $105.9M. Uses Google Imagen/Gemini; 400+ brand marketplace</t>
  </si>
  <si>
    <t>Myntra (Maya / MyFashionGPT / Fit Visualisation / Try On Me)</t>
  </si>
  <si>
    <t>Flipkart Group</t>
  </si>
  <si>
    <t>India</t>
  </si>
  <si>
    <t>Maya 2023; AI stack ongoing</t>
  </si>
  <si>
    <t>Conversational discovery + fit visualisation inside a marketplace</t>
  </si>
  <si>
    <t>Indian fashion shoppers</t>
  </si>
  <si>
    <t>Retailer-native stylist</t>
  </si>
  <si>
    <t>Owns catalogue, transaction and ~90% personalised-search coverage of MAU</t>
  </si>
  <si>
    <t>Retail margin</t>
  </si>
  <si>
    <t>India's largest fashion platform. 'Try On Me' avatar visualisation in development</t>
  </si>
  <si>
    <t>Google Shopping virtual try-on</t>
  </si>
  <si>
    <t>Google</t>
  </si>
  <si>
    <t>Global (expanding)</t>
  </si>
  <si>
    <t>VTO May 2025; Doppl app Jun 2025</t>
  </si>
  <si>
    <t>Try billions of garments on your own uploaded body</t>
  </si>
  <si>
    <t>All shoppers</t>
  </si>
  <si>
    <t>Try-on infrastructure</t>
  </si>
  <si>
    <t>Distribution via Search</t>
  </si>
  <si>
    <t>Ads / commerce</t>
  </si>
  <si>
    <t>Web, Search</t>
  </si>
  <si>
    <t>Standalone Doppl app REPORTEDLY SHUT DOWN 30 Apr 2026 - capability folded into Search/Shopping</t>
  </si>
  <si>
    <t>VTO high; Doppl shutdown SINGLE-SOURCE, NEEDS VERIFICATION</t>
  </si>
  <si>
    <t>Style DNA</t>
  </si>
  <si>
    <t>AI Style by DNA S.L.</t>
  </si>
  <si>
    <t>Spain / global</t>
  </si>
  <si>
    <t>2018</t>
  </si>
  <si>
    <t>Selfie &gt; 12-type seasonal colour analysis, body type, item-check</t>
  </si>
  <si>
    <t>Women seeking styling 'rules'</t>
  </si>
  <si>
    <t>Personal colour / body analysis first</t>
  </si>
  <si>
    <t>The strongest 'understand ME, not my closet' product</t>
  </si>
  <si>
    <t>Subscription</t>
  </si>
  <si>
    <t>Claims 3M-4M users (INCONSISTENT across its own listings)</t>
  </si>
  <si>
    <t>Combyne</t>
  </si>
  <si>
    <t>Munich, Germany</t>
  </si>
  <si>
    <t>2015</t>
  </si>
  <si>
    <t>Social outfit collages from 800-1,000+ brands; challenges; feed</t>
  </si>
  <si>
    <t>Gen Z / teens</t>
  </si>
  <si>
    <t>Social fashion first</t>
  </si>
  <si>
    <t>10M+ Gen Z community; gamified moodboards, collages, instant sharing</t>
  </si>
  <si>
    <t>Ads + affiliate</t>
  </si>
  <si>
    <t>10M+ users</t>
  </si>
  <si>
    <t>High. RISK NOTE: documented child-safety concerns in reviews around DMs</t>
  </si>
  <si>
    <t>Save Your Wardrobe (B2B)</t>
  </si>
  <si>
    <t>UK / France</t>
  </si>
  <si>
    <t>Pivot from ~2022</t>
  </si>
  <si>
    <t>Aftersales infrastructure for brands: repairs, warranty, logistics, compliance</t>
  </si>
  <si>
    <t>Brands and retailers</t>
  </si>
  <si>
    <t>Circularity infrastructure</t>
  </si>
  <si>
    <t>LVMH-accelerated; Zalando, Sandro, Maje; French Repair Fund integration</t>
  </si>
  <si>
    <t>Enterprise SaaS + transaction fees</t>
  </si>
  <si>
    <t>Web / white-label</t>
  </si>
  <si>
    <t>Undisclosed</t>
  </si>
  <si>
    <t>Medium (product claims high; financials unverifiable)</t>
  </si>
  <si>
    <t>ChatGPT / Gemini</t>
  </si>
  <si>
    <t>OpenAI / Google</t>
  </si>
  <si>
    <t>-</t>
  </si>
  <si>
    <t>Ad-hoc styling advice from photos</t>
  </si>
  <si>
    <t>Everyone</t>
  </si>
  <si>
    <t>General assistant</t>
  </si>
  <si>
    <t>Zero setup cost; multimodal</t>
  </si>
  <si>
    <t>All</t>
  </si>
  <si>
    <t>Massive</t>
  </si>
  <si>
    <t>THE REAL SUBSTITUTE - and the least studied competitor in the category</t>
  </si>
  <si>
    <t>C. Emerging</t>
  </si>
  <si>
    <t>Outflik</t>
  </si>
  <si>
    <t>Unknown</t>
  </si>
  <si>
    <t>~2025-26</t>
  </si>
  <si>
    <t>Wardrobe built as a BYPRODUCT of social activity - no cataloguing session</t>
  </si>
  <si>
    <t>Social-first users</t>
  </si>
  <si>
    <t>Social fashion + AI stylist</t>
  </si>
  <si>
    <t>Mirror a look &gt; confirm what you own &gt; added. Post an outfit &gt; items auto-identified. Everything free, no tiers</t>
  </si>
  <si>
    <t>Free (no stated model)</t>
  </si>
  <si>
    <t>iOS/Web</t>
  </si>
  <si>
    <t>LOW - evidence is their own marketing only. Treat as hypothesis</t>
  </si>
  <si>
    <t>Wardrowbe</t>
  </si>
  <si>
    <t>2025-26</t>
  </si>
  <si>
    <t>Open-source, self-hostable wardrobe AI with user-selectable model backend</t>
  </si>
  <si>
    <t>Privacy-conscious / technical users</t>
  </si>
  <si>
    <t>Digital closet first + privacy architecture</t>
  </si>
  <si>
    <t>Only privacy-architecture play found; local models vs cloud APIs; family/household wardrobes</t>
  </si>
  <si>
    <t>Free self-host + paid cloud</t>
  </si>
  <si>
    <t>iOS, self-host, Docker</t>
  </si>
  <si>
    <t>LOW-MEDIUM</t>
  </si>
  <si>
    <t>StylePal</t>
  </si>
  <si>
    <t>Fast outfit decision in ~10 seconds with NO cataloguing</t>
  </si>
  <si>
    <t>Users who abandon closet apps</t>
  </si>
  <si>
    <t>AI stylist first</t>
  </si>
  <si>
    <t>Explicitly rejects the cataloguing premise - the inverse bet</t>
  </si>
  <si>
    <t>LOW - own marketing only</t>
  </si>
  <si>
    <t>Alta enterprise / identity layer</t>
  </si>
  <si>
    <t>2026</t>
  </si>
  <si>
    <t>'Personal identity layer' for agentic commerce: closet + purchases + avatar + body, licensed to brands</t>
  </si>
  <si>
    <t>Infrastructure</t>
  </si>
  <si>
    <t>Reframes the wardrobe from consumer utility into commerce infrastructure</t>
  </si>
  <si>
    <t>B2B licensing</t>
  </si>
  <si>
    <t>Web embed</t>
  </si>
  <si>
    <t>Public School was an early integration</t>
  </si>
  <si>
    <t>MEDIUM - strategically the most significant development found</t>
  </si>
  <si>
    <t>Doji / Aiuta / Veesual / Zyler</t>
  </si>
  <si>
    <t>2023-2026</t>
  </si>
  <si>
    <t>Try-on specialists</t>
  </si>
  <si>
    <t>Consumers and brands</t>
  </si>
  <si>
    <t>Virtual try-on first</t>
  </si>
  <si>
    <t>Capability is rapidly becoming a commodity API</t>
  </si>
  <si>
    <t>Capsule Wardrobe AI / Nouva / Clueless / Closetly</t>
  </si>
  <si>
    <t>The AI-clone cohort</t>
  </si>
  <si>
    <t>Individually unimportant; collectively they define the commoditisation floor</t>
  </si>
  <si>
    <t>Subs</t>
  </si>
  <si>
    <t>LOW</t>
  </si>
  <si>
    <t>Libre Closet</t>
  </si>
  <si>
    <t>Open source community</t>
  </si>
  <si>
    <t>~2025</t>
  </si>
  <si>
    <t>Free, open-source, Docker-deployable wardrobe manager</t>
  </si>
  <si>
    <t>Self-hosters</t>
  </si>
  <si>
    <t>Signal that the DATA MODEL itself has no defensible value</t>
  </si>
  <si>
    <t>Free / open source</t>
  </si>
  <si>
    <t>Self-host, Docker, Web</t>
  </si>
  <si>
    <t>MEDIUM as a signal</t>
  </si>
  <si>
    <t>PRODUCT ARCHETYPE MAP</t>
  </si>
  <si>
    <t>Products can occupy more than one archetype. What matters is what each is fundamentally trying to become for the user.</t>
  </si>
  <si>
    <t>#</t>
  </si>
  <si>
    <t>Archetype</t>
  </si>
  <si>
    <t>What it fundamentally wants to become</t>
  </si>
  <si>
    <t>Products</t>
  </si>
  <si>
    <t>Core metric it optimises</t>
  </si>
  <si>
    <t>The definitive record of what you own</t>
  </si>
  <si>
    <t>Stylebook, GetWardrobe, Whering, Acloset, Save Your Wardrobe, Fits</t>
  </si>
  <si>
    <t>Items digitised; closet completeness</t>
  </si>
  <si>
    <t>The accountant of your wardrobe</t>
  </si>
  <si>
    <t>Stylebook, Indyx (Insider tier), GetWardrobe</t>
  </si>
  <si>
    <t>Cost-per-wear, utilisation %, wardrobe value</t>
  </si>
  <si>
    <t>Your morning-routine calendar</t>
  </si>
  <si>
    <t>Pureple, Cladwell, GetWardrobe, Fits</t>
  </si>
  <si>
    <t>Outfits planned / logged per week</t>
  </si>
  <si>
    <t>The thing that decides FOR you</t>
  </si>
  <si>
    <t>Alta, Acloset, Pronti, Vesta, Cladwell (Ask Cladwell)</t>
  </si>
  <si>
    <t>Recommendation acceptance rate</t>
  </si>
  <si>
    <t>Access to taste you do not have</t>
  </si>
  <si>
    <t>Wishi, Stitch Fix, Indyx (Lookbooks)</t>
  </si>
  <si>
    <t>Session / box conversion; stylist NPS</t>
  </si>
  <si>
    <t>Shopping / commerce first</t>
  </si>
  <si>
    <t>A better way to buy clothes</t>
  </si>
  <si>
    <t>Alta, Phia, Daydream, Glance AI, Smart Closet, Style DNA</t>
  </si>
  <si>
    <t>GMV, affiliate revenue, return rate</t>
  </si>
  <si>
    <t>The mirror that precedes purchase</t>
  </si>
  <si>
    <t>Doji, Aiuta, Google VTO, Glance AI, Stitch Fix Vision</t>
  </si>
  <si>
    <t>Try-ons generated; purchase lift</t>
  </si>
  <si>
    <t>A place to perform and be seen</t>
  </si>
  <si>
    <t>Combyne, Whering (community), Outflik, Indyx (Social Styling)</t>
  </si>
  <si>
    <t>DAU, posts, follows, feedback loops</t>
  </si>
  <si>
    <t>The infrastructure that keeps clothes alive</t>
  </si>
  <si>
    <t>Save Your Wardrobe, Whering, Cladwell (capsule)</t>
  </si>
  <si>
    <t>Garment lifespan, repairs, resale</t>
  </si>
  <si>
    <t>MIGRATION PATTERN (the strategic story of the category):</t>
  </si>
  <si>
    <t xml:space="preserve">   Digital closet first  -&gt;  AI stylist first  -&gt;  Shopping / commerce first</t>
  </si>
  <si>
    <t xml:space="preserve">                                     |                        |</t>
  </si>
  <si>
    <t xml:space="preserve">                                     +-&gt; Sustainability / circular, or B2B infrastructure &lt;-+</t>
  </si>
  <si>
    <t>Nearly everyone starts at 'digital closet', discovers the retention problem, adds 'AI stylist',</t>
  </si>
  <si>
    <t>discovers subscriptions do not cover CAC, and drifts toward commerce, B2B or circularity.</t>
  </si>
  <si>
    <t>Whering (eBay Ventures money, resale integrations, try-on roadmap), Alta (agentic shopping +</t>
  </si>
  <si>
    <t>enterprise identity layer), Save Your Wardrobe (full B2B pivot) and Pronti (affiliate + Shopify app)</t>
  </si>
  <si>
    <t>are four different resolutions of the same pressure.</t>
  </si>
  <si>
    <t>Stylebook is the notable refusenik: one-time fee, no AI, no commerce, iOS-only, since 2010.</t>
  </si>
  <si>
    <t>THE USER JOB TO BE DONE</t>
  </si>
  <si>
    <t>Stripped of marketing language. Stated job and underlying job diverge sharply - that divergence is the point.</t>
  </si>
  <si>
    <t>Stated job ('why do I open this app?')</t>
  </si>
  <si>
    <t>UNDERLYING job</t>
  </si>
  <si>
    <t>Trigger moment</t>
  </si>
  <si>
    <t>Emotional payload</t>
  </si>
  <si>
    <t>Show me outfits from what I own</t>
  </si>
  <si>
    <t>Give me permission to NOT buy something. Also: let me be seen as someone with taste and values</t>
  </si>
  <si>
    <t>Standing at the closet; also mid-impulse-purchase</t>
  </si>
  <si>
    <t>Guilt relief; identity signalling</t>
  </si>
  <si>
    <t>Tell me what to wear today</t>
  </si>
  <si>
    <t>Make the decision so I can stop thinking about it</t>
  </si>
  <si>
    <t>Weekday morning</t>
  </si>
  <si>
    <t>Decision-fatigue relief</t>
  </si>
  <si>
    <t>Organise my wardrobe properly</t>
  </si>
  <si>
    <t>I want a professional to tell me I am doing this right. The app is the substrate; the stylist is the product</t>
  </si>
  <si>
    <t>Seasonal reset; life transition</t>
  </si>
  <si>
    <t>Reassurance; competence</t>
  </si>
  <si>
    <t>Simplify my wardrobe</t>
  </si>
  <si>
    <t>I want to become a different kind of person - someone who owns less and is calmer</t>
  </si>
  <si>
    <t>Post-declutter; New Year</t>
  </si>
  <si>
    <t>Moral / identity transformation</t>
  </si>
  <si>
    <t>Track my wardrobe</t>
  </si>
  <si>
    <t>I want to feel in control of an expensive, chaotic part of my life. The cataloguing IS the reward, not a cost</t>
  </si>
  <si>
    <t>Sunday afternoon; travel prep</t>
  </si>
  <si>
    <t>Mastery; order</t>
  </si>
  <si>
    <t>Style me and show me on me</t>
  </si>
  <si>
    <t>Let me see a better version of myself before I commit money</t>
  </si>
  <si>
    <t>Pre-purchase; pre-event</t>
  </si>
  <si>
    <t>Aspiration; risk reduction</t>
  </si>
  <si>
    <t>Ask my closet what to wear</t>
  </si>
  <si>
    <t>I want a second opinion I do not have to be embarrassed in front of</t>
  </si>
  <si>
    <t>Any moment of doubt</t>
  </si>
  <si>
    <t>Private validation</t>
  </si>
  <si>
    <t>Plan my outfits</t>
  </si>
  <si>
    <t>Reduce the number of mornings I get it wrong</t>
  </si>
  <si>
    <t>Weekly planning; packing</t>
  </si>
  <si>
    <t>Preparedness</t>
  </si>
  <si>
    <t>What colours suit me?</t>
  </si>
  <si>
    <t>Tell me the rules so I can stop guessing forever</t>
  </si>
  <si>
    <t>Post-haircut; pre-wardrobe-overhaul</t>
  </si>
  <si>
    <t>Certainty; permission</t>
  </si>
  <si>
    <t>Make outfits and share them</t>
  </si>
  <si>
    <t>Give me a low-stakes creative outlet and an audience. THIS IS A BOREDOM PRODUCT, NOT A PROBLEM PRODUCT</t>
  </si>
  <si>
    <t>Idle time</t>
  </si>
  <si>
    <t>Play; belonging; status</t>
  </si>
  <si>
    <t>Wishi / Stitch Fix</t>
  </si>
  <si>
    <t>Get styled</t>
  </si>
  <si>
    <t>Outsource a domain I have decided not to master</t>
  </si>
  <si>
    <t>Wardrobe crisis; job change</t>
  </si>
  <si>
    <t>Delegation</t>
  </si>
  <si>
    <t>Phia / Daydream</t>
  </si>
  <si>
    <t>Find the right thing to buy</t>
  </si>
  <si>
    <t>Stop me overpaying and stop me wasting an hour</t>
  </si>
  <si>
    <t>Active shopping session</t>
  </si>
  <si>
    <t>Efficiency; thrift</t>
  </si>
  <si>
    <t>(unprompted - it appears on the lock screen)</t>
  </si>
  <si>
    <t>Show me a version of me I would like to be</t>
  </si>
  <si>
    <t>Interrupt-driven, NOT intent-driven</t>
  </si>
  <si>
    <t>Aspiration; idle desire</t>
  </si>
  <si>
    <t>ChatGPT</t>
  </si>
  <si>
    <t>Does this outfit work?</t>
  </si>
  <si>
    <t>Answer my exact question without me building anything first</t>
  </si>
  <si>
    <t>Any</t>
  </si>
  <si>
    <t>Zero-friction competence</t>
  </si>
  <si>
    <t>THREE JTBD INSIGHTS THAT SHOULD SHAPE EVERYTHING DOWNSTREAM:</t>
  </si>
  <si>
    <t>1. 'I do not know what to wear' and 'I want to organise my wardrobe' are DIFFERENT CUSTOMERS, not different features.</t>
  </si>
  <si>
    <t xml:space="preserve">   Stylebook users ENJOY cataloguing; Acloset users RESENT it. Products serving both end up with a setup cost only</t>
  </si>
  <si>
    <t xml:space="preserve">   the organisers tolerate and an AI only the deciders need.</t>
  </si>
  <si>
    <t>2. FREQUENCY ASYMMETRY. The 'what do I wear' job fires ~365x/year but is worth cents. The 'what should I buy' job</t>
  </si>
  <si>
    <t xml:space="preserve">   fires ~10-30x/year but is worth dollars. Everyone monetises the low-frequency job with revenue earned from the</t>
  </si>
  <si>
    <t xml:space="preserve">   high-frequency one. This is exactly why the commerce drift happens - and why DAILY engagement is the strategic</t>
  </si>
  <si>
    <t xml:space="preserve">   asset even when it is not the revenue line.</t>
  </si>
  <si>
    <t>3. The strongest engagement product in the category (Combyne, 10M+ Gen Z) DOES NOT DO THE JOB AT ALL.</t>
  </si>
  <si>
    <t xml:space="preserve">   It serves boredom, not dressing. That is either a warning or an opportunity, depending on your thesis.</t>
  </si>
  <si>
    <t>MASTER FEATURE CHECKLIST</t>
  </si>
  <si>
    <t>Filterable by Category. Rows where EVERY product is — are deliberate: they are the theoretical-universe capabilities nobody has built. Coverage columns are live formulas. See Sheet 1 for the legend and the evidence caveat.</t>
  </si>
  <si>
    <t>Category</t>
  </si>
  <si>
    <t>Capability</t>
  </si>
  <si>
    <t>WHE</t>
  </si>
  <si>
    <t>ACL</t>
  </si>
  <si>
    <t>IND</t>
  </si>
  <si>
    <t>CLA</t>
  </si>
  <si>
    <t>STB</t>
  </si>
  <si>
    <t>ALT</t>
  </si>
  <si>
    <t>PRO</t>
  </si>
  <si>
    <t>PUR</t>
  </si>
  <si>
    <t>VES</t>
  </si>
  <si>
    <t>Full (✓)</t>
  </si>
  <si>
    <t>Partial (◐)</t>
  </si>
  <si>
    <t>Absent (—)</t>
  </si>
  <si>
    <t>Unclear (?)</t>
  </si>
  <si>
    <t>Coverage %</t>
  </si>
  <si>
    <t>Notes / evidence</t>
  </si>
  <si>
    <t>A. Discovery / Acquisition</t>
  </si>
  <si>
    <t>App Store / Play organic search</t>
  </si>
  <si>
    <t>Stylebook is iOS-only. ASO keyword stuffing is universal.</t>
  </si>
  <si>
    <t>TikTok / Reels organic virality</t>
  </si>
  <si>
    <t>Pronti had a single TikTok hit &gt;2M views that crashed the app and forced a waitlist.</t>
  </si>
  <si>
    <t>'Clueless closet' cultural hook</t>
  </si>
  <si>
    <t>The category's shared origin myth; Alta, Whering, Cladwell and Pronti all invoke it.</t>
  </si>
  <si>
    <t>Influencer / creator partnerships</t>
  </si>
  <si>
    <t>Alta: Karlie Kloss, Jasmine Tookes as investor-advocates.</t>
  </si>
  <si>
    <t>Celebrity / expert credibility anchor</t>
  </si>
  <si>
    <t>◐H</t>
  </si>
  <si>
    <t>✓H</t>
  </si>
  <si>
    <t>Alta: Meredith Koop (Michelle Obama's stylist) trained models. Indyx: staff stylists. Style DNA: unnamed 'world-renowned image consultants'.</t>
  </si>
  <si>
    <t>Institutional / industry endorsement</t>
  </si>
  <si>
    <t>Alta-CFDA partnership; Marie Kondo (APAC). Save Your Wardrobe: LVMH Innovation Award 2023.</t>
  </si>
  <si>
    <t>In-app referral / invite mechanic</t>
  </si>
  <si>
    <t>Pronti: earn AI chat credits via referral - the only credit-linked referral found.</t>
  </si>
  <si>
    <t>Friend-graph import</t>
  </si>
  <si>
    <t>Indyx closet-sharing links are the strongest viral loop in the direct set.</t>
  </si>
  <si>
    <t>Public / shareable closet or lookbook link</t>
  </si>
  <si>
    <t>Indyx added shareable Collections links (2026).</t>
  </si>
  <si>
    <t>Web / SEO content funnel</t>
  </si>
  <si>
    <t>Whering runs 'best wardrobe apps' content that ranks its own competitors.</t>
  </si>
  <si>
    <t>Browser extension as acquisition surface</t>
  </si>
  <si>
    <t>Whering explicitly advertises a browser extension.</t>
  </si>
  <si>
    <t>OEM / lock-screen / OS-level preinstall</t>
  </si>
  <si>
    <t>GAP in direct set. Glance AI owns this (Samsung, Motorola, AT&amp;T 'Lynk'). Structurally the cheapest distribution in the category.</t>
  </si>
  <si>
    <t>Retail / brand co-marketing at point of sale</t>
  </si>
  <si>
    <t>Alta enterprise embeds (Public School); Pronti Shopify app.</t>
  </si>
  <si>
    <t>Waitlist / scarcity mechanic</t>
  </si>
  <si>
    <t>Alta launched with a waitlist.</t>
  </si>
  <si>
    <t>B. Onboarding - Input Capture</t>
  </si>
  <si>
    <t>Gender (binary)</t>
  </si>
  <si>
    <t>Gender as spectrum / non-binary</t>
  </si>
  <si>
    <t>Pronti uses a 5-point gender slider - the only explicit non-binary handling found.</t>
  </si>
  <si>
    <t>Age / age band</t>
  </si>
  <si>
    <t>Location (for weather)</t>
  </si>
  <si>
    <t>GetWardrobe also.</t>
  </si>
  <si>
    <t>Climate zone / seasonality profile</t>
  </si>
  <si>
    <t>Cladwell's capsule logic is season-native.</t>
  </si>
  <si>
    <t>Height</t>
  </si>
  <si>
    <t>Body measurements (bust/waist/hip/inseam)</t>
  </si>
  <si>
    <t>Alta needs these for the avatar.</t>
  </si>
  <si>
    <t>Body shape archetype</t>
  </si>
  <si>
    <t>✓AI</t>
  </si>
  <si>
    <t>Style DNA is the specialist - body type from a selfie.</t>
  </si>
  <si>
    <t>Body proportion analysis (rise, torso:leg ratio)</t>
  </si>
  <si>
    <t>◐AI</t>
  </si>
  <si>
    <t>Acloset 'fit diagnosis'; Alta silhouette modelling.</t>
  </si>
  <si>
    <t>Skin tone / undertone</t>
  </si>
  <si>
    <t>Style DNA: 12 seasonal colour types from a selfie in ~35s.</t>
  </si>
  <si>
    <t>Hair colour / length</t>
  </si>
  <si>
    <t>Glance AI captures hair length + ethnicity at onboarding.</t>
  </si>
  <si>
    <t>Eye colour</t>
  </si>
  <si>
    <t>Style DNA does (colour analysis input).</t>
  </si>
  <si>
    <t>Lifestyle / weekly activity mix</t>
  </si>
  <si>
    <t>Alta explicitly cites 'lifestyle' as a model input.</t>
  </si>
  <si>
    <t>Occupation</t>
  </si>
  <si>
    <t>Workplace dress code</t>
  </si>
  <si>
    <t>Mostly captured as a tag, not as a constraint model.</t>
  </si>
  <si>
    <t>Style archetype / aesthetic quiz</t>
  </si>
  <si>
    <t>Cladwell's is the most structured (custom ideal closet size + signature items).</t>
  </si>
  <si>
    <t>Favourite colours</t>
  </si>
  <si>
    <t>Trivially universal.</t>
  </si>
  <si>
    <t>Disliked colours</t>
  </si>
  <si>
    <t>Weak everywhere - usually inferred, not asked.</t>
  </si>
  <si>
    <t>Favourite silhouettes / cuts</t>
  </si>
  <si>
    <t>Favourite brands</t>
  </si>
  <si>
    <t>Stored as tags; rarely used as a taste signal.</t>
  </si>
  <si>
    <t>Budget / price band per category</t>
  </si>
  <si>
    <t>Alta is the only one treating budget as a first-class model input.</t>
  </si>
  <si>
    <t>Fashion goals (e.g. 'look senior at work')</t>
  </si>
  <si>
    <t>Best served by human stylists (Indyx, Wishi, Stitch Fix).</t>
  </si>
  <si>
    <t>Comfort preferences (fabric, waistband, heel height)</t>
  </si>
  <si>
    <t>NEAR-UNIVERSAL GAP.</t>
  </si>
  <si>
    <t>Fit preference (oversized / fitted)</t>
  </si>
  <si>
    <t>Fashion risk tolerance</t>
  </si>
  <si>
    <t>Nobody models this explicitly and well.</t>
  </si>
  <si>
    <t>Modesty / religious / cultural constraints</t>
  </si>
  <si>
    <t>TOTAL CATEGORY GAP. No product found handles hijab, sari, kurta, tzniut or 'no bare shoulders' as a constraint.</t>
  </si>
  <si>
    <t>Sensory / neurodivergent needs (tags, seams, textures)</t>
  </si>
  <si>
    <t>TOTAL CATEGORY GAP.</t>
  </si>
  <si>
    <t>Medical / mobility / adaptive dressing needs</t>
  </si>
  <si>
    <t>Pregnancy / body-change state</t>
  </si>
  <si>
    <t>TOTAL CATEGORY GAP - despite being a high-intent, high-spend life stage.</t>
  </si>
  <si>
    <t>Laundry cadence and capacity</t>
  </si>
  <si>
    <t>TOTAL CATEGORY GAP - yet it is a hard constraint on real outfit feasibility.</t>
  </si>
  <si>
    <t>Existing photo library / social import for taste</t>
  </si>
  <si>
    <t>Pronti can add from selfies; Whering roadmap includes gallery scanning (Google AI Futures funded).</t>
  </si>
  <si>
    <t>Pinterest / Instagram saved-inspiration import</t>
  </si>
  <si>
    <t>NEAR-TOTAL GAP. The richest existing taste signal on earth and nobody ingests it.</t>
  </si>
  <si>
    <t>Progressive onboarding (defer questions)</t>
  </si>
  <si>
    <t>Cold-start styling before any items added</t>
  </si>
  <si>
    <t>Cladwell can style from templates pre-closet. The single biggest onboarding lever, largely unexploited.</t>
  </si>
  <si>
    <t>C. Wardrobe Digitisation</t>
  </si>
  <si>
    <t>Photograph item in-app</t>
  </si>
  <si>
    <t>Upload from camera roll</t>
  </si>
  <si>
    <t>Bulk / batch upload</t>
  </si>
  <si>
    <t>Whering user reviews report glitches on multi-upload.</t>
  </si>
  <si>
    <t>Multi-garment detection in one image</t>
  </si>
  <si>
    <t>Acloset: up to 4 items extracted from a single full-body or editorial photo. Highest-leverage ingestion feature in the category.</t>
  </si>
  <si>
    <t>Extract items from an outfit / OOTD selfie</t>
  </si>
  <si>
    <t>Acloset 'smart outfit detection from selfies' (v6.0.3, May 2025).</t>
  </si>
  <si>
    <t>Scan entire camera roll for garments</t>
  </si>
  <si>
    <t>Whering has this on the ROADMAP (Google AI Futures, Jul 2026). Nobody ships it yet. Very high potential.</t>
  </si>
  <si>
    <t>Background removal</t>
  </si>
  <si>
    <t>Stylebook requires MANUAL background removal - the single most-cited reason its setup is called a 6-8 hour job.</t>
  </si>
  <si>
    <t>Image enhancement ('make it look like a product shot')</t>
  </si>
  <si>
    <t>Whering 'Enhance' (fixes lighting/creases); Acloset 'photo beautification'; Indyx 'optimize image quality'.</t>
  </si>
  <si>
    <t>Auto-detect garment category</t>
  </si>
  <si>
    <t>Whering user review: correct ~50% of the time. Assume representative of the field.</t>
  </si>
  <si>
    <t>Auto-detect subcategory</t>
  </si>
  <si>
    <t>Auto-detect colour</t>
  </si>
  <si>
    <t>Auto-detect multiple / secondary colours</t>
  </si>
  <si>
    <t>✓man</t>
  </si>
  <si>
    <t>Mostly single dominant colour - a real limitation for patterned garments.</t>
  </si>
  <si>
    <t>Auto-detect pattern</t>
  </si>
  <si>
    <t>Pronti has a closet filter by pattern.</t>
  </si>
  <si>
    <t>Auto-detect material / fabric</t>
  </si>
  <si>
    <t>WEAK EVERYWHERE. Material drives warmth, drape and care - the most under-extracted attribute.</t>
  </si>
  <si>
    <t>Auto-detect brand</t>
  </si>
  <si>
    <t>Reliable only via receipt/URL, not vision.</t>
  </si>
  <si>
    <t>Match to a specific retail product (SKU)</t>
  </si>
  <si>
    <t>Whering claims a 20M-item database; Cladwell lets you browse similar pieces instead of photographing.</t>
  </si>
  <si>
    <t>Auto-detect style descriptor</t>
  </si>
  <si>
    <t>Whering user review: style guesses wrong ~50%.</t>
  </si>
  <si>
    <t>Auto-detect formality level</t>
  </si>
  <si>
    <t>GetWardrobe and Wardrowbe both claim explicit formality detection.</t>
  </si>
  <si>
    <t>Auto-detect fit (slim / relaxed / oversized)</t>
  </si>
  <si>
    <t>Auto-detect season suitability</t>
  </si>
  <si>
    <t>Auto-detect occasion suitability</t>
  </si>
  <si>
    <t>Auto-detect temperature / warmth rating</t>
  </si>
  <si>
    <t>Pronti added a closet filter by Season/Temperature.</t>
  </si>
  <si>
    <t>AI-generated item description / naming</t>
  </si>
  <si>
    <t>GetWardrobe: AI suggests the item name.</t>
  </si>
  <si>
    <t>Extract product info from URL</t>
  </si>
  <si>
    <t>Vesta explicitly criticised in reviews for lacking this. GetWardrobe store import saves brand + price + product link.</t>
  </si>
  <si>
    <t>Browser extension for adding items</t>
  </si>
  <si>
    <t>Share-sheet 'add from any app'</t>
  </si>
  <si>
    <t>Email receipt forwarding</t>
  </si>
  <si>
    <t>Pronti gives each user a custom email address.</t>
  </si>
  <si>
    <t>Gmail / inbox OAuth auto-scan</t>
  </si>
  <si>
    <t>Acloset: one-time Gmail link auto-imports 6 months of purchase history, extendable to 5 years. The deepest ingestion feature found anywhere.</t>
  </si>
  <si>
    <t>Direct retailer account integration</t>
  </si>
  <si>
    <t>Acloset cites Amazon, Shein, Zara, ASOS.</t>
  </si>
  <si>
    <t>Import purchase history from marketplaces</t>
  </si>
  <si>
    <t>Barcode / product-code entry</t>
  </si>
  <si>
    <t>Acloset added product-code entry.</t>
  </si>
  <si>
    <t>In-home professional cataloguing service</t>
  </si>
  <si>
    <t>Indyx 'Archivist' - a human digitises your closet. The only true white-glove ingestion in the direct set.</t>
  </si>
  <si>
    <t>Manual entry with no photo</t>
  </si>
  <si>
    <t>Vesta added 'add popular items without a photo'.</t>
  </si>
  <si>
    <t>Duplicate detection</t>
  </si>
  <si>
    <t>WEAK/UNVERIFIED EVERYWHERE. Surprising, given 'stop buying duplicates' is a headline benefit.</t>
  </si>
  <si>
    <t>Bulk edit of attributes</t>
  </si>
  <si>
    <t>Pronti added bulk colour correction.</t>
  </si>
  <si>
    <t>Manual crop refinement</t>
  </si>
  <si>
    <t>Pronti added fine-tune cropping.</t>
  </si>
  <si>
    <t>Item confidence score / 'please confirm' UX</t>
  </si>
  <si>
    <t>CATEGORY GAP. Given ~50% tag accuracy, surfacing uncertainty would be strictly better than silent errors.</t>
  </si>
  <si>
    <t>Continuous / passive capture (mirror, RFID, smart hanger)</t>
  </si>
  <si>
    <t>Digitise non-apparel (jewellery, bags, glasses)</t>
  </si>
  <si>
    <t>Pureple uniquely includes makeup and hairstyles.</t>
  </si>
  <si>
    <t>D. Digital Closet</t>
  </si>
  <si>
    <t>Grid / gallery view</t>
  </si>
  <si>
    <t>Adjustable view density (2-up to 7-up)</t>
  </si>
  <si>
    <t>Indyx: 2-7 items across, user-controlled - and paywalled, which users complain about.</t>
  </si>
  <si>
    <t>Custom item ordering</t>
  </si>
  <si>
    <t>Indyx reviews flag reordering large closets as painful.</t>
  </si>
  <si>
    <t>Custom categories and subcategories</t>
  </si>
  <si>
    <t>Stylebook is the depth leader (90+ features cited).</t>
  </si>
  <si>
    <t>Custom tags (with colour / emoji)</t>
  </si>
  <si>
    <t>Fits offers coloured / emoji tags.</t>
  </si>
  <si>
    <t>Filter by colour</t>
  </si>
  <si>
    <t>Filter by brand</t>
  </si>
  <si>
    <t>Filter by season</t>
  </si>
  <si>
    <t>Filter by occasion</t>
  </si>
  <si>
    <t>Filter by size</t>
  </si>
  <si>
    <t>Filter by price</t>
  </si>
  <si>
    <t>Filter by material</t>
  </si>
  <si>
    <t>Filter by pattern</t>
  </si>
  <si>
    <t>Filter by temperature / weather suitability</t>
  </si>
  <si>
    <t>Filter by physical location (which closet / box)</t>
  </si>
  <si>
    <t>Useful for storage-unit / seasonal-rotation users.</t>
  </si>
  <si>
    <t>Filter by wear count</t>
  </si>
  <si>
    <t>Sort by cost-per-wear</t>
  </si>
  <si>
    <t>Filter by state (new / worn / needs repair / donated)</t>
  </si>
  <si>
    <t>Whering user review praises 'state'. Save Your Wardrobe review asks for a 'needs repair' flag and it does not exist.</t>
  </si>
  <si>
    <t>Free-text search</t>
  </si>
  <si>
    <t>Natural-language semantic search ('that green linen thing')</t>
  </si>
  <si>
    <t>WEAK ACROSS THE BOARD. Daydream solved this for catalogues; nobody has solved it for closets.</t>
  </si>
  <si>
    <t>Visual similarity search within own closet</t>
  </si>
  <si>
    <t>CATEGORY GAP.</t>
  </si>
  <si>
    <t>Multiple separate closets</t>
  </si>
  <si>
    <t>Acloset supports multiple closets.</t>
  </si>
  <si>
    <t>Archive / storage (hide off-season)</t>
  </si>
  <si>
    <t>Wishlist as a distinct object</t>
  </si>
  <si>
    <t>Cross-device sync</t>
  </si>
  <si>
    <t>◐paid</t>
  </si>
  <si>
    <t>Stylebook is device-local (iCloud/iTunes backup only) - a privacy strength and a UX weakness. Pureple paywalls sync.</t>
  </si>
  <si>
    <t>Web app</t>
  </si>
  <si>
    <t>GetWardrobe is strongest: iOS + Android + macOS + Web.</t>
  </si>
  <si>
    <t>Offline mode</t>
  </si>
  <si>
    <t>GetWardrobe claims offline + sync-on-reconnect.</t>
  </si>
  <si>
    <t>Structured data export</t>
  </si>
  <si>
    <t>EFFECTIVELY A CATEGORY-WIDE GAP. Nobody found offering clean structured export.</t>
  </si>
  <si>
    <t>Self-hosting / local-only operation</t>
  </si>
  <si>
    <t>Only Wardrowbe and Libre Closet (outside the focus set).</t>
  </si>
  <si>
    <t>E1. Style Understanding - Explicit</t>
  </si>
  <si>
    <t>Structured style questionnaire</t>
  </si>
  <si>
    <t>Style archetype output ('you are X')</t>
  </si>
  <si>
    <t>Vesta leads on archetype framing.</t>
  </si>
  <si>
    <t>Declared favourite colours / brands / silhouettes</t>
  </si>
  <si>
    <t>Declared dislikes / hard 'nevers'</t>
  </si>
  <si>
    <t>UNIVERSALLY WEAK. Nobody models a hard exclusion set well.</t>
  </si>
  <si>
    <t>Editable style profile over time</t>
  </si>
  <si>
    <t>Multiple style 'modes' (work self vs weekend self)</t>
  </si>
  <si>
    <t>CATEGORY GAP. People are not one style archetype; every product assumes they are.</t>
  </si>
  <si>
    <t>E2. Style Understanding - Inferred</t>
  </si>
  <si>
    <t>Infer palette from actual wardrobe composition</t>
  </si>
  <si>
    <t>Easy; universal.</t>
  </si>
  <si>
    <t>Infer formality distribution of wardrobe</t>
  </si>
  <si>
    <t>Infer personal colour from selfie</t>
  </si>
  <si>
    <t>Style DNA is the reference implementation (12 seasonal types).</t>
  </si>
  <si>
    <t>Infer body / fit from photo</t>
  </si>
  <si>
    <t>Acloset 'fit diagnosis'; Alta avatar.</t>
  </si>
  <si>
    <t>Infer taste from saved inspiration images</t>
  </si>
  <si>
    <t>Very weak.</t>
  </si>
  <si>
    <t>Infer taste from social / Pinterest</t>
  </si>
  <si>
    <t>TOTAL GAP.</t>
  </si>
  <si>
    <t>Infer brand affinity from purchase data</t>
  </si>
  <si>
    <t>Acloset (Gmail) and Alta (receipts) are the only two with the raw data.</t>
  </si>
  <si>
    <t>E3. Style Understanding - Behavioural</t>
  </si>
  <si>
    <t>Learns from outfits explicitly rated</t>
  </si>
  <si>
    <t>All CLAIM it; none document it.</t>
  </si>
  <si>
    <t>Learns from rejected / skipped recommendations</t>
  </si>
  <si>
    <t>ALMOST ENTIRELY UNVERIFIED. Vesta reviewers say output feels like a randomiser regardless of onboarding answers.</t>
  </si>
  <si>
    <t>Learns from outfits actually worn (logged)</t>
  </si>
  <si>
    <t>Cladwell explicitly: track outfits -&gt; personal style profile.</t>
  </si>
  <si>
    <t>Learns from items repeatedly ignored</t>
  </si>
  <si>
    <t>Mostly surfaced as analytics, not fed back into recommendations.</t>
  </si>
  <si>
    <t>Learns from saves / favourites</t>
  </si>
  <si>
    <t>Learns from purchase behaviour</t>
  </si>
  <si>
    <t>Only products with commerce data can.</t>
  </si>
  <si>
    <t>Learns from returns / regret</t>
  </si>
  <si>
    <t>CATEGORY GAP - return data is the single most honest taste signal that exists.</t>
  </si>
  <si>
    <t>Learns from compliments / social feedback</t>
  </si>
  <si>
    <t>Combyne and Indyx Social Styling capture peer feedback but do not feed it back into a model.</t>
  </si>
  <si>
    <t>Explicit 'why did you reject this?' capture</t>
  </si>
  <si>
    <t>NEAR-TOTAL GAP. Rejection without a reason is very low-information.</t>
  </si>
  <si>
    <t>Model confidence / uncertainty exposed to user</t>
  </si>
  <si>
    <t>Cold-start to warm transition visible to user</t>
  </si>
  <si>
    <t>Pronti tells users 'the more you upload, the better I get'; 'Just Mine' unlocks at a closet-size threshold.</t>
  </si>
  <si>
    <t>F1. AI Styling - Triggers &amp; Contexts</t>
  </si>
  <si>
    <t>Generate outfit from entire wardrobe</t>
  </si>
  <si>
    <t>Indyx deliberately has NO AI generation - humans and manual boards only.</t>
  </si>
  <si>
    <t>Generate outfit around a specific item</t>
  </si>
  <si>
    <t>Whering does this via 'pinning' an item in Shuffle.</t>
  </si>
  <si>
    <t>Generate multiple alternatives at once</t>
  </si>
  <si>
    <t>GetWardrobe: 10 AI-curated outfits per run, unlimited runs on the free tier. Cladwell: 3/day.</t>
  </si>
  <si>
    <t>Daily 'outfit of the day' push</t>
  </si>
  <si>
    <t>Cladwell's daily notification is its most-loved feature per reviews.</t>
  </si>
  <si>
    <t>Weather-based recommendation</t>
  </si>
  <si>
    <t>✓paid</t>
  </si>
  <si>
    <t>Pureple paywalls weather. Cladwell reviewers report black jeans + boots at 97F - a strong signal the weather logic is shallow.</t>
  </si>
  <si>
    <t>Multi-condition weather (rain, wind, humidity, layering)</t>
  </si>
  <si>
    <t>Weak almost everywhere; GetWardrobe / Wardrowbe claim layering logic.</t>
  </si>
  <si>
    <t>Occasion-based</t>
  </si>
  <si>
    <t>Dress-code-based (black tie, business formal, smart casual)</t>
  </si>
  <si>
    <t>Location / destination-aware (city, culture)</t>
  </si>
  <si>
    <t>Alta and Pronti handle trip destinations.</t>
  </si>
  <si>
    <t>Calendar-integrated</t>
  </si>
  <si>
    <t>Alta and Acloset both cite the user's schedule as an input. Whether this is real calendar OAuth or in-app events NEEDS VERIFICATION.</t>
  </si>
  <si>
    <t>Travel / trip-based styling</t>
  </si>
  <si>
    <t>Universally present; quality varies wildly.</t>
  </si>
  <si>
    <t>Work / professional context</t>
  </si>
  <si>
    <t>Date night</t>
  </si>
  <si>
    <t>Party / going out</t>
  </si>
  <si>
    <t>Wedding (as guest)</t>
  </si>
  <si>
    <t>High-anxiety, high-value occasion; served shallowly.</t>
  </si>
  <si>
    <t>Festival / cultural / religious occasion</t>
  </si>
  <si>
    <t>TOTAL CATEGORY GAP. Critical for India, MENA, SE Asia.</t>
  </si>
  <si>
    <t>Funeral / formal-sombre</t>
  </si>
  <si>
    <t>GAP.</t>
  </si>
  <si>
    <t>Interview / high-stakes professional</t>
  </si>
  <si>
    <t>GAP; strong latent demand.</t>
  </si>
  <si>
    <t>Recommendation from previous worn outfits</t>
  </si>
  <si>
    <t>Avoid recent repeats</t>
  </si>
  <si>
    <t>Everyone claims it; nobody verified.</t>
  </si>
  <si>
    <t>Recommend to increase utilisation of dead stock</t>
  </si>
  <si>
    <t>Universal, but usually a nudge rather than an optimisation.</t>
  </si>
  <si>
    <t>Laundry-state-aware (exclude dirty items)</t>
  </si>
  <si>
    <t>TOTAL CATEGORY GAP - and it silently invalidates every 'wear this today' recommendation.</t>
  </si>
  <si>
    <t>Mood-based</t>
  </si>
  <si>
    <t>Pronti explicitly cites mood; GetWardrobe filters by mood.</t>
  </si>
  <si>
    <t>Body-shape-aware styling rules</t>
  </si>
  <si>
    <t>Alta trained on silhouette by a professional stylist.</t>
  </si>
  <si>
    <t>Personal-colour-aware styling</t>
  </si>
  <si>
    <t>Style DNA is the specialist.</t>
  </si>
  <si>
    <t>Colour-harmony reasoning (not just 'matching')</t>
  </si>
  <si>
    <t>Some products expose a 'style match score' based on colour theory.</t>
  </si>
  <si>
    <t>Proportion / silhouette-balance reasoning</t>
  </si>
  <si>
    <t>THE HARDEST STYLING PROBLEM; only Alta and human stylists appear to attempt it.</t>
  </si>
  <si>
    <t>Trend awareness in recommendations</t>
  </si>
  <si>
    <t>Anti-trend / longevity mode</t>
  </si>
  <si>
    <t>GAP. Cladwell's philosophy implies it.</t>
  </si>
  <si>
    <t>F2. AI Styling - Interaction</t>
  </si>
  <si>
    <t>Generate</t>
  </si>
  <si>
    <t>Regenerate / shuffle again</t>
  </si>
  <si>
    <t>Lock / pin an item and regenerate the rest</t>
  </si>
  <si>
    <t>Whering has pinning. A Whering review asks for the more useful inverse - specify by CATEGORY ('boots, jumper, skirt'), not by item. Nobody does this.</t>
  </si>
  <si>
    <t>Reject one item and swap it</t>
  </si>
  <si>
    <t>Cladwell lets you tweak suggestions.</t>
  </si>
  <si>
    <t>Ask 'why does this work?'</t>
  </si>
  <si>
    <t>Only chat-based products can. Even they rarely explain proactively.</t>
  </si>
  <si>
    <t>Ask for alternatives to one item</t>
  </si>
  <si>
    <t>Adjust formality up / down as a dial</t>
  </si>
  <si>
    <t>NEAR-TOTAL GAP. Should be a primary control; is a chat request at best.</t>
  </si>
  <si>
    <t>Adjust colour direction</t>
  </si>
  <si>
    <t>Adjust 'how much effort / statement'</t>
  </si>
  <si>
    <t>Adjust weather suitability manually</t>
  </si>
  <si>
    <t>Constrain to specific items only ('only what is clean')</t>
  </si>
  <si>
    <t>Conversational styling (free-text chat)</t>
  </si>
  <si>
    <t>Acloset 'Style Chat', Cladwell 'Ask Cladwell' (explicitly a ChatGPT integration), Pronti 'PAI'. Pronti's is the most explicitly grounded in the user's actual items.</t>
  </si>
  <si>
    <t>Voice input</t>
  </si>
  <si>
    <t>Chat history persisted across sessions</t>
  </si>
  <si>
    <t>Acloset added unified chat history across 5 AI features.</t>
  </si>
  <si>
    <t>Feedback / critique on a user-built outfit</t>
  </si>
  <si>
    <t>Pureple 'Instant Outfit Feedback by AI'. 10outfits does a 'Love or Roast' variant.</t>
  </si>
  <si>
    <t>Score / rate an outfit numerically</t>
  </si>
  <si>
    <t>OutfitScore and FashionAdvice.ai specialise here.</t>
  </si>
  <si>
    <t>Second opinion before leaving the house</t>
  </si>
  <si>
    <t>A distinct, very frequent job that few treat as first-class.</t>
  </si>
  <si>
    <t>Recommendation credits / rate limiting</t>
  </si>
  <si>
    <t>Pronti monetises AI chat via credits - a notable model.</t>
  </si>
  <si>
    <t>G. Outfit Creation / Visualisation</t>
  </si>
  <si>
    <t>Auto-generated flat grid of items</t>
  </si>
  <si>
    <t>Cladwell is criticised for ONLY offering this.</t>
  </si>
  <si>
    <t>Free-form drag / resize / layer collage board</t>
  </si>
  <si>
    <t>Cladwell's most-cited weakness in reviews. GetWardrobe markets 'magazine-style collages'; Save Your Wardrobe too.</t>
  </si>
  <si>
    <t>Layer ordering / z-index control</t>
  </si>
  <si>
    <t>Backgrounds / stickers / decoration</t>
  </si>
  <si>
    <t>Combyne is the leader here (it is their whole product).</t>
  </si>
  <si>
    <t>Mannequin / silhouette-based builder</t>
  </si>
  <si>
    <t>Fits' swipe-a-mannequin builder is a distinctive interaction.</t>
  </si>
  <si>
    <t>Try-on on a generic AI model</t>
  </si>
  <si>
    <t>Pureple: 'see it on a model', explicitly NOT a sizing tool.</t>
  </si>
  <si>
    <t>Try-on on the user's own avatar / likeness</t>
  </si>
  <si>
    <t>◐roadmap</t>
  </si>
  <si>
    <t>Alta is the reference implementation in the direct set. Whering has it funded and on the roadmap. Glance AI and Stitch Fix Vision lead outside.</t>
  </si>
  <si>
    <t>Persistent, reusable avatar</t>
  </si>
  <si>
    <t>Alta's enterprise pitch depends on the avatar being portable to brand sites.</t>
  </si>
  <si>
    <t>Multiple body types / sizes</t>
  </si>
  <si>
    <t>Multiple poses</t>
  </si>
  <si>
    <t>Multiple environments / backdrops</t>
  </si>
  <si>
    <t>Video try-on / motion</t>
  </si>
  <si>
    <t>Google Doppl had it; Doppl reportedly shut down 30 Apr 2026 (NEEDS VERIFICATION). Nobody in the direct set.</t>
  </si>
  <si>
    <t>Try on unowned items alongside owned</t>
  </si>
  <si>
    <t>Alta's core commerce mechanic.</t>
  </si>
  <si>
    <t>See the outfit on your real photo (not an avatar)</t>
  </si>
  <si>
    <t>Stitch Fix 'See it on me' (Jun 2026) is the cleanest external example.</t>
  </si>
  <si>
    <t>Lookbooks / collections</t>
  </si>
  <si>
    <t>Moodboards from external inspiration</t>
  </si>
  <si>
    <t>Export outfit as a shareable image</t>
  </si>
  <si>
    <t>Fabric-drape / physics realism</t>
  </si>
  <si>
    <t>Claimed by try-on specialists; unverified in wardrobe apps.</t>
  </si>
  <si>
    <t>Show FIT accuracy (not just appearance)</t>
  </si>
  <si>
    <t>TOTAL GAP, and honestly disclaimed by Pureple.</t>
  </si>
  <si>
    <t>H. Outfit Planning</t>
  </si>
  <si>
    <t>Calendar of planned outfits</t>
  </si>
  <si>
    <t>CONFLICT: one Cladwell reviewer states there is no calendar view of what you have worn, contradicting Cladwell's own listing.</t>
  </si>
  <si>
    <t>Weather shown on the calendar</t>
  </si>
  <si>
    <t>Vesta added weather-on-calendar (2026).</t>
  </si>
  <si>
    <t>Plan a week ahead in one flow</t>
  </si>
  <si>
    <t>Pronti: 'PAI can help you plan your week'.</t>
  </si>
  <si>
    <t>AI auto-fills a whole week</t>
  </si>
  <si>
    <t>Under-built relative to obvious value.</t>
  </si>
  <si>
    <t>Log what you actually wore (OOTD)</t>
  </si>
  <si>
    <t>OOTD selfie attached to the day</t>
  </si>
  <si>
    <t>Indyx paywalls unlimited outfit selfies.</t>
  </si>
  <si>
    <t>Add an item to the calendar without building an outfit</t>
  </si>
  <si>
    <t>Explicitly requested in a Whering review; appears unmet.</t>
  </si>
  <si>
    <t>Outfit history / archive</t>
  </si>
  <si>
    <t>Rotation logic / avoid repeats</t>
  </si>
  <si>
    <t>Event-linked planning</t>
  </si>
  <si>
    <t>Real calendar (Google / Apple) OAuth sync</t>
  </si>
  <si>
    <t>GENUINELY UNCLEAR FOR EVERY PRODUCT. High-priority verification item.</t>
  </si>
  <si>
    <t>Packing list generation</t>
  </si>
  <si>
    <t>Packing list driven by destination weather</t>
  </si>
  <si>
    <t>GetWardrobe explicitly weather-driven.</t>
  </si>
  <si>
    <t>Packing list check-off</t>
  </si>
  <si>
    <t>Packing optimisation (min items -&gt; max outfits)</t>
  </si>
  <si>
    <t>Cladwell's travel capsule is its most-praised feature even among critics.</t>
  </si>
  <si>
    <t>Baggage / weight constraint awareness</t>
  </si>
  <si>
    <t>Multi-city / multi-climate trips</t>
  </si>
  <si>
    <t>Capsule wardrobe builder</t>
  </si>
  <si>
    <t>Cladwell is the category reference.</t>
  </si>
  <si>
    <t>Capsule templates by lifestyle</t>
  </si>
  <si>
    <t>Cladwell: wardrobe templates + custom ideal closet size.</t>
  </si>
  <si>
    <t>Recurring outfit 'uniforms'</t>
  </si>
  <si>
    <t>GAP; strong latent demand among busy professionals.</t>
  </si>
  <si>
    <t>Morning reminder / notification</t>
  </si>
  <si>
    <t>Pronti added configurable OOTD reminders.</t>
  </si>
  <si>
    <t>I. Shopping</t>
  </si>
  <si>
    <t>In-app product discovery feed</t>
  </si>
  <si>
    <t>Smart Closet leads with 'trending outfits, shop instantly'.</t>
  </si>
  <si>
    <t>Wardrobe gap identification</t>
  </si>
  <si>
    <t>Cladwell: 'what gaps do I have in my closet?' is a documented Ask Cladwell prompt. Analytically shallow almost everywhere.</t>
  </si>
  <si>
    <t>'Complete the look' from owned items</t>
  </si>
  <si>
    <t>Pronti 'Shop-with-Closet' is the clearest articulation.</t>
  </si>
  <si>
    <t>Style a new item with existing wardrobe BEFORE purchase</t>
  </si>
  <si>
    <t>THE STRONGEST STRUCTURAL ADVANTAGE a wardrobe app has over any retailer. Under-exploited.</t>
  </si>
  <si>
    <t>Similar-product search</t>
  </si>
  <si>
    <t>Alternative price points ('dupe' search)</t>
  </si>
  <si>
    <t>Phia is the specialist.</t>
  </si>
  <si>
    <t>Cross-retailer price comparison</t>
  </si>
  <si>
    <t>Phia's core feature.</t>
  </si>
  <si>
    <t>Sale / price-drop alerts</t>
  </si>
  <si>
    <t>Brand discovery</t>
  </si>
  <si>
    <t>Alta: 4,000+ brands; Daydream: 10,000+; Combyne: 800-1,000+.</t>
  </si>
  <si>
    <t>Affiliate monetisation</t>
  </si>
  <si>
    <t>Pronti discloses it plainly in its store listing.</t>
  </si>
  <si>
    <t>Wishlist to purchase tracking</t>
  </si>
  <si>
    <t>Second-hand / resale search integrated</t>
  </si>
  <si>
    <t>Acloset runs a peer marketplace inside the app. Whering's eBay Ventures investment signals deep resale integration ahead.</t>
  </si>
  <si>
    <t>Sell your own items</t>
  </si>
  <si>
    <t>Acloset's buy/sell pre-loved marketplace is distinctive in the direct set.</t>
  </si>
  <si>
    <t>Resale value estimation</t>
  </si>
  <si>
    <t>GAP; obvious eBay-integration play for Whering.</t>
  </si>
  <si>
    <t>Size recommendation for a specific SKU</t>
  </si>
  <si>
    <t>NEAR-TOTAL GAP. The #1 driver of returns, unaddressed.</t>
  </si>
  <si>
    <t>Return-risk warning ('you already own 4 of these')</t>
  </si>
  <si>
    <t>CATEGORY GAP with obvious value.</t>
  </si>
  <si>
    <t>Budget tracking against a plan</t>
  </si>
  <si>
    <t>Stylebook has the data; Alta has budget as a model input.</t>
  </si>
  <si>
    <t>Agentic purchase (the AI buys for you)</t>
  </si>
  <si>
    <t>Nobody in the direct set. Amazon Rufus, OpenAI checkout and Alta's roadmap point here.</t>
  </si>
  <si>
    <t>Group / gift shopping</t>
  </si>
  <si>
    <t>GAP (Wishi has curated gift lists).</t>
  </si>
  <si>
    <t>J. Wardrobe Analytics</t>
  </si>
  <si>
    <t>Cost per wear</t>
  </si>
  <si>
    <t>Universal; the category's signature metric.</t>
  </si>
  <si>
    <t>Total wardrobe value</t>
  </si>
  <si>
    <t>GetWardrobe shows estimated wardrobe value.</t>
  </si>
  <si>
    <t>Most worn</t>
  </si>
  <si>
    <t>Least worn / never worn</t>
  </si>
  <si>
    <t>Percentage of wardrobe actually worn</t>
  </si>
  <si>
    <t>The 'you wear 20% of your clothes' stat is the category's founding argument.</t>
  </si>
  <si>
    <t>Category utilisation breakdown</t>
  </si>
  <si>
    <t>Brand utilisation</t>
  </si>
  <si>
    <t>Colour distribution</t>
  </si>
  <si>
    <t>Save Your Wardrobe users specifically praise this.</t>
  </si>
  <si>
    <t>Spend over time</t>
  </si>
  <si>
    <t>Purchase frequency / velocity</t>
  </si>
  <si>
    <t>Seasonal 'wrapped' retrospective</t>
  </si>
  <si>
    <t>Whering 'Unpacked' - a Spotify-Wrapped mechanic. Notable for virality, not insight.</t>
  </si>
  <si>
    <t>Interactive charts / dashboard</t>
  </si>
  <si>
    <t>Indyx's explicitly 'nudges you to wear underused pieces' - analytics wired to behaviour.</t>
  </si>
  <si>
    <t>Analytics that actually change recommendations</t>
  </si>
  <si>
    <t>THE CRUX: most products display analytics; few act on them.</t>
  </si>
  <si>
    <t>Wardrobe 'health score'</t>
  </si>
  <si>
    <t>Cladwell's ideal-closet-size assessment is the nearest thing.</t>
  </si>
  <si>
    <t>Gap analysis vs an ideal wardrobe model</t>
  </si>
  <si>
    <t>CO2 / environmental impact estimate</t>
  </si>
  <si>
    <t>Save Your Wardrobe uses Good On You brand ratings; Whering claims impact tracking.</t>
  </si>
  <si>
    <t>Wear-per-garment lifetime tracking</t>
  </si>
  <si>
    <t>Benchmarking vs similar users</t>
  </si>
  <si>
    <t>K. Social / Community</t>
  </si>
  <si>
    <t>Public profile</t>
  </si>
  <si>
    <t>Follow other users</t>
  </si>
  <si>
    <t>Combyne is the leader by an order of magnitude.</t>
  </si>
  <si>
    <t>Browse others' ACTUAL wardrobes</t>
  </si>
  <si>
    <t>Whering and Indyx both let you browse real closets - genuinely differentiated vs outfit feeds.</t>
  </si>
  <si>
    <t>Style a friend's closet for them</t>
  </si>
  <si>
    <t>Whering's most distinctive social mechanic. Indyx 'Social Styling' is paywalled.</t>
  </si>
  <si>
    <t>Request feedback on a specific outfit</t>
  </si>
  <si>
    <t>Private groups / friend circles</t>
  </si>
  <si>
    <t>Combyne has private groups.</t>
  </si>
  <si>
    <t>Comment / like</t>
  </si>
  <si>
    <t>Direct messaging</t>
  </si>
  <si>
    <t>RISK: Combyne has documented child-safety concerns in reviews around DMs and inappropriate content.</t>
  </si>
  <si>
    <t>Challenges / gamified prompts</t>
  </si>
  <si>
    <t>Combyne invented the format; Acloset runs a 3-day OOTD challenge with rewards.</t>
  </si>
  <si>
    <t>Leaderboards / ranking</t>
  </si>
  <si>
    <t>Save an item from someone else's closet to your wishlist</t>
  </si>
  <si>
    <t>Whering explicitly.</t>
  </si>
  <si>
    <t>Creator monetisation</t>
  </si>
  <si>
    <t>Combyne rewards favourite creators.</t>
  </si>
  <si>
    <t>Influencer / expert content feed</t>
  </si>
  <si>
    <t>Acloset runs an in-app magazine with configurable placement.</t>
  </si>
  <si>
    <t>Live streams / events</t>
  </si>
  <si>
    <t>Pronti is experimenting.</t>
  </si>
  <si>
    <t>L. Human Styling</t>
  </si>
  <si>
    <t>1:1 human stylist available</t>
  </si>
  <si>
    <t>Indyx is the only one in the direct set. Wishi, Stitch Fix, Lookiero outside.</t>
  </si>
  <si>
    <t>Choose your own stylist</t>
  </si>
  <si>
    <t>Indyx: 'choose your stylist and your price'. Wishi matches you to 3.</t>
  </si>
  <si>
    <t>Stylist works from YOUR OWN wardrobe</t>
  </si>
  <si>
    <t>Indyx Lookbooks; Wishi can incorporate owned pieces.</t>
  </si>
  <si>
    <t>Stylist-built lookbook deliverable</t>
  </si>
  <si>
    <t>Indyx's Lookbook is the paid unit.</t>
  </si>
  <si>
    <t>Chat with the stylist</t>
  </si>
  <si>
    <t>Video consultation</t>
  </si>
  <si>
    <t>GAP in the direct set.</t>
  </si>
  <si>
    <t>In-home wardrobe cataloguing by a human</t>
  </si>
  <si>
    <t>Indyx 'Archivist' - unique.</t>
  </si>
  <si>
    <t>In-home closet edit / declutter</t>
  </si>
  <si>
    <t>Human review of AI output (hybrid loop)</t>
  </si>
  <si>
    <t>Alta used a stylist to TRAIN models, not to review outputs. Stitch Fix is the reference hybrid.</t>
  </si>
  <si>
    <t>Professional-stylist tooling (manage clients)</t>
  </si>
  <si>
    <t>GetWardrobe has a stylist client dashboard with branded invitations - a B2B2C wedge nobody else in the direct set has.</t>
  </si>
  <si>
    <t>Membership discount on human services</t>
  </si>
  <si>
    <t>Indyx Insiders get 10% off.</t>
  </si>
  <si>
    <t>M. Sustainability / Circular</t>
  </si>
  <si>
    <t>Cost-per-wear as a behaviour nudge</t>
  </si>
  <si>
    <t>Utilisation nudges ('wear this, it is idle')</t>
  </si>
  <si>
    <t>'Shop your own closet before buying' framing</t>
  </si>
  <si>
    <t>Resale integration</t>
  </si>
  <si>
    <t>Alta reportedly links The RealReal / Depop (single lower-confidence source); Whering's eBay tie is the strongest signal.</t>
  </si>
  <si>
    <t>Peer-to-peer marketplace</t>
  </si>
  <si>
    <t>Acloset.</t>
  </si>
  <si>
    <t>Donation routing</t>
  </si>
  <si>
    <t>Repair / alteration booking</t>
  </si>
  <si>
    <t>Save Your Wardrobe owns this entirely. ZERO penetration in the direct set.</t>
  </si>
  <si>
    <t>Eco-cleaning booking</t>
  </si>
  <si>
    <t>Save Your Wardrobe only.</t>
  </si>
  <si>
    <t>Upcycling / customisation services</t>
  </si>
  <si>
    <t>Garment care instructions</t>
  </si>
  <si>
    <t>Stylebook captures care fields manually.</t>
  </si>
  <si>
    <t>Garment digital passport / service history</t>
  </si>
  <si>
    <t>Save Your Wardrobe only (B2B). Becomes strategically important as EU Digital Product Passport regulation lands.</t>
  </si>
  <si>
    <t>Brand ethics ratings</t>
  </si>
  <si>
    <t>Save Your Wardrobe uses Good On You. Nobody in the direct set.</t>
  </si>
  <si>
    <t>Repair-need flagging on an item</t>
  </si>
  <si>
    <t>A Save Your Wardrobe user review ASKS FOR THIS and it does not exist - even in the aftercare app.</t>
  </si>
  <si>
    <t>Carbon footprint estimate</t>
  </si>
  <si>
    <t>Claimed by Whering; unverified.</t>
  </si>
  <si>
    <t>Capsule / buy-less philosophy</t>
  </si>
  <si>
    <t>N. Personalisation Layers</t>
  </si>
  <si>
    <t>1. Content (which items shown)</t>
  </si>
  <si>
    <t>Table stakes.</t>
  </si>
  <si>
    <t>2. Recommendation ranking</t>
  </si>
  <si>
    <t>3. Contextual filters (weather / occasion)</t>
  </si>
  <si>
    <t>4. Styling RULES adapted to body / colouring</t>
  </si>
  <si>
    <t>Only Acloset, Alta, Style DNA and human stylists.</t>
  </si>
  <si>
    <t>5. Tone and voice of the assistant</t>
  </si>
  <si>
    <t>NEAR-TOTAL GAP.</t>
  </si>
  <si>
    <t>6. Level of directiveness (suggest vs decide)</t>
  </si>
  <si>
    <t>TOTAL GAP. Some users want a prescription, others a menu.</t>
  </si>
  <si>
    <t>7. UI / information-architecture personalisation</t>
  </si>
  <si>
    <t>Acloset: user-configurable home screen sections.</t>
  </si>
  <si>
    <t>8. Notification timing / frequency</t>
  </si>
  <si>
    <t>Pronti lets users configure daily inspiration.</t>
  </si>
  <si>
    <t>9. Cultural / regional norms</t>
  </si>
  <si>
    <t>10. Life-stage adaptation</t>
  </si>
  <si>
    <t>11. Aspiration modelling (who you want to become)</t>
  </si>
  <si>
    <t>Cladwell's programme is the closest; human stylists do this natively.</t>
  </si>
  <si>
    <t>12. Personalised taxonomy (your words for your clothes)</t>
  </si>
  <si>
    <t>Stylebook / Pureple custom categories are the mechanical version; nobody does the semantic version.</t>
  </si>
  <si>
    <t>P. Monetisation</t>
  </si>
  <si>
    <t>Free tier</t>
  </si>
  <si>
    <t>✓ (100 items)</t>
  </si>
  <si>
    <t>CONFLICT: Cladwell pricing is contradictory across sources - 'free for life' on its own site vs $60/$79 per year in reviews.</t>
  </si>
  <si>
    <t>One-time purchase</t>
  </si>
  <si>
    <t>Stylebook alone ($4.99-5.99); repeatedly praised by users who hate subscriptions.</t>
  </si>
  <si>
    <t>Monthly subscription</t>
  </si>
  <si>
    <t>Indyx ~$9/mo. Pureple $9.99-14.99 (sources conflict).</t>
  </si>
  <si>
    <t>Annual subscription</t>
  </si>
  <si>
    <t>Pureple $69.99-89.99 - priciest in the direct set.</t>
  </si>
  <si>
    <t>Weekly subscription</t>
  </si>
  <si>
    <t>Pureple $6.99/wk. Aggressive, and heavily criticised.</t>
  </si>
  <si>
    <t>Ad-supported cheaper tier</t>
  </si>
  <si>
    <t>Acloset introduced a cheaper monthly plan WITH ads (Aug 2025).</t>
  </si>
  <si>
    <t>Item-count paywall</t>
  </si>
  <si>
    <t>Acloset's 100-item cap is its most complained-about decision. GetWardrobe also caps free at 100.</t>
  </si>
  <si>
    <t>AI usage credits</t>
  </si>
  <si>
    <t>Pronti: earn or buy PAI chat credits - the only usage-metered AI model found.</t>
  </si>
  <si>
    <t>Affiliate commission</t>
  </si>
  <si>
    <t>Alta's primary model.</t>
  </si>
  <si>
    <t>In-app advertising</t>
  </si>
  <si>
    <t>Indyx markets itself as ad-free; Pureple's ad load is its top complaint.</t>
  </si>
  <si>
    <t>Human styling services</t>
  </si>
  <si>
    <t>Indyx Lookbooks + Archivist.</t>
  </si>
  <si>
    <t>Marketplace take rate</t>
  </si>
  <si>
    <t>Acloset resale.</t>
  </si>
  <si>
    <t>B2B / white-label</t>
  </si>
  <si>
    <t>Alta enterprise (Public School); Pronti Shopify app. Save Your Wardrobe is the full-pivot case.</t>
  </si>
  <si>
    <t>Data licensing</t>
  </si>
  <si>
    <t>Implied by Whering's and Alta's public framing about wardrobe data; NOT confirmed as a live revenue line.</t>
  </si>
  <si>
    <t>Brand partnerships / sponsored placement</t>
  </si>
  <si>
    <t>Acloset magazine; Combyne creator programme.</t>
  </si>
  <si>
    <t>Content / courses</t>
  </si>
  <si>
    <t>Cladwell sells a capsule wardrobe programme with 8 video sessions.</t>
  </si>
  <si>
    <t>Q. Identity, Body &amp; Fit [ADDED]</t>
  </si>
  <si>
    <t>Persistent, portable avatar</t>
  </si>
  <si>
    <t>Alta only; Alta is explicitly trying to make it an industry-wide identity layer.</t>
  </si>
  <si>
    <t>Body measurement capture from photo</t>
  </si>
  <si>
    <t>Body change over time (weight, pregnancy, ageing)</t>
  </si>
  <si>
    <t>Size-per-brand memory ('12 in Zara, 10 in COS')</t>
  </si>
  <si>
    <t>TOTAL GAP - high value, low difficulty.</t>
  </si>
  <si>
    <t>Fit feedback on owned garments ('this is tight now')</t>
  </si>
  <si>
    <t>Adaptive / accessible dressing support</t>
  </si>
  <si>
    <t>Gender-expansive representation</t>
  </si>
  <si>
    <t>Pronti only (5-point slider).</t>
  </si>
  <si>
    <t>R. Data, Privacy &amp; Portability [ADDED]</t>
  </si>
  <si>
    <t>On-device / local processing</t>
  </si>
  <si>
    <t>Stylebook (local storage); Wardrowbe (local models, outside focus set).</t>
  </si>
  <si>
    <t>EFFECTIVELY ABSENT EVERYWHERE.</t>
  </si>
  <si>
    <t>Import from a competitor app</t>
  </si>
  <si>
    <t>ABSENT EVERYWHERE - a real switching-cost moat AND an obvious attack vector.</t>
  </si>
  <si>
    <t>Open API / third-party integrations</t>
  </si>
  <si>
    <t>Alta enterprise API; Pronti Shopify app.</t>
  </si>
  <si>
    <t>GDPR / DPDP-grade granular consent</t>
  </si>
  <si>
    <t>UNVERIFIED across the board.</t>
  </si>
  <si>
    <t>Clear disclosure on training use of user photos</t>
  </si>
  <si>
    <t>UNVERIFIED EVERYWHERE - and material, given users upload full-body and selfie images.</t>
  </si>
  <si>
    <t>S. Trust, Explainability &amp; Control [ADDED]</t>
  </si>
  <si>
    <t>Explain WHY an outfit was recommended</t>
  </si>
  <si>
    <t>Chat products only; humans do it natively.</t>
  </si>
  <si>
    <t>Show tagging confidence and invite correction</t>
  </si>
  <si>
    <t>ABSENT.</t>
  </si>
  <si>
    <t>Disclose commercial bias in recommendations</t>
  </si>
  <si>
    <t>Pronti discloses affiliate plainly; most do not disclose RANKING influence.</t>
  </si>
  <si>
    <t>'Never suggest X' hard rules</t>
  </si>
  <si>
    <t>WEAK EVERYWHERE.</t>
  </si>
  <si>
    <t>Undo / version history on wardrobe edits</t>
  </si>
  <si>
    <t>Weak. A Closetly review complains you cannot delete an item at all.</t>
  </si>
  <si>
    <t>T. Engagement Loop &amp; Habit [ADDED]</t>
  </si>
  <si>
    <t>Daily notification carrying a DECISION (not a nudge)</t>
  </si>
  <si>
    <t>Streaks</t>
  </si>
  <si>
    <t>Acloset's 3-day OOTD challenge.</t>
  </si>
  <si>
    <t>Seasonal retrospective ('wrapped')</t>
  </si>
  <si>
    <t>Whering 'Unpacked'.</t>
  </si>
  <si>
    <t>Time-to-first-value under 60 seconds</t>
  </si>
  <si>
    <t>THE CATEGORY'S CORE UNSOLVED PROBLEM. Cladwell and StylePal are the only ones attempting it.</t>
  </si>
  <si>
    <t>Widget / lock screen / watch surface</t>
  </si>
  <si>
    <t>NEAR-ABSENT. Glance AI owns the lock screen.</t>
  </si>
  <si>
    <t>Re-engagement after abandonment</t>
  </si>
  <si>
    <t>ABSENT - and abandonment is the modal outcome.</t>
  </si>
  <si>
    <t>U. Multi-user / Household / Pro [ADDED]</t>
  </si>
  <si>
    <t>Family / household wardrobes</t>
  </si>
  <si>
    <t>GetWardrobe (premium) and Wardrowbe have it; nobody in this column set does.</t>
  </si>
  <si>
    <t>Children's wardrobes (fast-changing sizes)</t>
  </si>
  <si>
    <t>TOTAL GAP; obvious high-frequency need.</t>
  </si>
  <si>
    <t>Shared / partner wardrobes</t>
  </si>
  <si>
    <t>Stylist multi-client dashboard</t>
  </si>
  <si>
    <t>GetWardrobe has this: branded invitations, subscription covers clients.</t>
  </si>
  <si>
    <t>Household-assistant access</t>
  </si>
  <si>
    <t>GetWardrobe only.</t>
  </si>
  <si>
    <t>V. Accessibility &amp; Cultural Coverage [ADDED]</t>
  </si>
  <si>
    <t>Non-Western garment taxonomy (sari, kurta, abaya, hanbok)</t>
  </si>
  <si>
    <t>TOTAL GAP. Directly relevant to India.</t>
  </si>
  <si>
    <t>Modesty constraints as first-class rules</t>
  </si>
  <si>
    <t>Festival / religious occasion styling</t>
  </si>
  <si>
    <t>Plus-size, petite, tall representation in try-on</t>
  </si>
  <si>
    <t>Claimed, weakly evidenced.</t>
  </si>
  <si>
    <t>Screen-reader / low-vision support</t>
  </si>
  <si>
    <t>UNVERIFIED.</t>
  </si>
  <si>
    <t>Non-English language depth</t>
  </si>
  <si>
    <t>Acloset 8 languages; GetWardrobe 26 (per one review); most others English-first.</t>
  </si>
  <si>
    <t>Region-appropriate retailer catalogues</t>
  </si>
  <si>
    <t>Strongly US/EU-skewed across the board.</t>
  </si>
  <si>
    <t>W. Physical-World Bridge [ADDED]</t>
  </si>
  <si>
    <t>In-store 'does this go with my closet?' scan</t>
  </si>
  <si>
    <t>TOTAL GAP - the highest-intent moment in the whole customer journey.</t>
  </si>
  <si>
    <t>Smart mirror integration</t>
  </si>
  <si>
    <t>RFID / NFC garment tagging</t>
  </si>
  <si>
    <t>Physical closet mapping (which rail, which box)</t>
  </si>
  <si>
    <t>Location tags only.</t>
  </si>
  <si>
    <t>Laundry-state tracking</t>
  </si>
  <si>
    <t>X. Lifecycle &amp; Logistics [ADDED]</t>
  </si>
  <si>
    <t>Warranty tracking</t>
  </si>
  <si>
    <t>Save Your Wardrobe (B2B) only.</t>
  </si>
  <si>
    <t>Seasonal storage workflow</t>
  </si>
  <si>
    <t>Archive features only.</t>
  </si>
  <si>
    <t>Insurance / valuation for high-value items</t>
  </si>
  <si>
    <t>TOTAL GAP (Stylebook has the valuation data but no product around it).</t>
  </si>
  <si>
    <t>End-of-life routing (recycle / donate / resell decision)</t>
  </si>
  <si>
    <t>Y. Content &amp; Education [ADDED]</t>
  </si>
  <si>
    <t>Editorial / magazine content</t>
  </si>
  <si>
    <t>Acloset and Save Your Wardrobe both run in-app editorial.</t>
  </si>
  <si>
    <t>Structured styling curriculum</t>
  </si>
  <si>
    <t>Cladwell (8 video sessions) - rare.</t>
  </si>
  <si>
    <t>Personalised education ('here is WHY this works on you')</t>
  </si>
  <si>
    <t>TOTAL GAP; arguably the highest-value unserved job.</t>
  </si>
  <si>
    <t>Trend explainers</t>
  </si>
  <si>
    <t>COVERAGE SUMMARY (LIVE FORMULAS)</t>
  </si>
  <si>
    <t>Counts of clearly-available (✓) capabilities per product per category, pulled from Sheet 5. Nothing here is hardcoded - edit Sheet 5 and this updates.</t>
  </si>
  <si>
    <t>Capabilities mapped</t>
  </si>
  <si>
    <t>Nobody has it</t>
  </si>
  <si>
    <t>TOTAL</t>
  </si>
  <si>
    <t>% of all mapped capabilities clearly available</t>
  </si>
  <si>
    <t>APP CODES</t>
  </si>
  <si>
    <t>HOW TO USE THIS SHEET</t>
  </si>
  <si>
    <t>• 'Capabilities mapped' = how many rows exist in that category on Sheet 5.</t>
  </si>
  <si>
    <t>• Product columns count only clearly-available (✓) marks. Partial (◐) and unclear (?) are NOT counted here - see the per-row Coverage % on Sheet 5 for a weighted view.</t>
  </si>
  <si>
    <t>• 'Nobody has it' counts rows where no product scores ✓ or ◐. These are the theoretical-universe gaps and the most strategically useful cells in the workbook.</t>
  </si>
  <si>
    <t>• A HIGH SCORE IS NOT A VERDICT. Breadth of claimed features is not product quality, and this workbook contains no quality verification. Feature count says nothing about whether the AI is any good.</t>
  </si>
  <si>
    <t>• Indyx will under-score on styling categories BY DESIGN - it deliberately has no AI generation and sells human stylists instead. Stylebook will under-score across the board for the same kind of reason: it is a manual tool by choice, with a one-time price.</t>
  </si>
  <si>
    <t>SOPHISTICATION / DEPTH ASSESSMENT</t>
  </si>
  <si>
    <t>1 = basic | 2 = moderate | 3 = sophisticated | 4 = highly differentiated | ? = insufficient information | n/a = not attempted. Only for features where 'the feature exists' and 'the feature is good' diverge most.</t>
  </si>
  <si>
    <t>Major capability</t>
  </si>
  <si>
    <t>Category ceiling today</t>
  </si>
  <si>
    <t>Wardrobe ingestion (speed to a usable closet)</t>
  </si>
  <si>
    <t>3*</t>
  </si>
  <si>
    <t>4 (Acloset: Gmail + multi-item photo). *Indyx scores 3 only via a HUMAN service</t>
  </si>
  <si>
    <t>Auto-tagging accuracy and depth</t>
  </si>
  <si>
    <t>3?</t>
  </si>
  <si>
    <t>3 - nobody is at 4</t>
  </si>
  <si>
    <t>Outfit generation quality</t>
  </si>
  <si>
    <t>3, and only Alta / Pronti plausibly</t>
  </si>
  <si>
    <t>Context awareness (weather / occasion / calendar)</t>
  </si>
  <si>
    <t>4?</t>
  </si>
  <si>
    <t>4 claimed by Alta, unverified</t>
  </si>
  <si>
    <t>Behavioural learning</t>
  </si>
  <si>
    <t>2?</t>
  </si>
  <si>
    <t>GENUINELY UNCERTAIN - nobody has demonstrated 3+</t>
  </si>
  <si>
    <t>Body / colour personalisation</t>
  </si>
  <si>
    <t>3H</t>
  </si>
  <si>
    <t>Style DNA scores 4 in its narrow domain</t>
  </si>
  <si>
    <t>Visualisation / virtual try-on</t>
  </si>
  <si>
    <t>4 (Alta, Glance AI, Stitch Fix Vision)</t>
  </si>
  <si>
    <t>Outfit collage / creation tooling</t>
  </si>
  <si>
    <t>4 (Stylebook, Indyx, Combyne)</t>
  </si>
  <si>
    <t>Planning and calendar</t>
  </si>
  <si>
    <t>Packing and travel</t>
  </si>
  <si>
    <t>4 (Cladwell travel capsule)</t>
  </si>
  <si>
    <t>Analytics depth</t>
  </si>
  <si>
    <t>4 (Stylebook, Indyx)</t>
  </si>
  <si>
    <t>Analytics-to-action coupling</t>
  </si>
  <si>
    <t>3 - THE REAL FRONTIER</t>
  </si>
  <si>
    <t>Shopping integration</t>
  </si>
  <si>
    <t>4 (Alta); Phia / Daydream 4+ outside the direct set</t>
  </si>
  <si>
    <t>Conversational styling</t>
  </si>
  <si>
    <t>3. Cladwell's is a thin ChatGPT wrapper; Pronti's closet grounding is the more interesting design</t>
  </si>
  <si>
    <t>Social</t>
  </si>
  <si>
    <t>Combyne = 4+ outside the direct set</t>
  </si>
  <si>
    <t>Sustainability / circularity</t>
  </si>
  <si>
    <t>Save Your Wardrobe = 4 outside the direct set</t>
  </si>
  <si>
    <t>Human styling</t>
  </si>
  <si>
    <t>Wishi / Stitch Fix = 4 outside the direct set</t>
  </si>
  <si>
    <t>Explainability</t>
  </si>
  <si>
    <t>3, and only via a HUMAN</t>
  </si>
  <si>
    <t>AI / INTELLIGENCE LAYER - WHAT IS ACTUALLY UNDER THE HOOD</t>
  </si>
  <si>
    <t>Separated from the marketing label. Do NOT assume something marketed as 'AI' is sophisticated AI.</t>
  </si>
  <si>
    <t>Rules / heuristics</t>
  </si>
  <si>
    <t>Templates</t>
  </si>
  <si>
    <t>Computer vision</t>
  </si>
  <si>
    <t>Classical recsys</t>
  </si>
  <si>
    <t>ML on behaviour</t>
  </si>
  <si>
    <t>LLM</t>
  </si>
  <si>
    <t>GenAI imagery</t>
  </si>
  <si>
    <t>Multimodal</t>
  </si>
  <si>
    <t>Human</t>
  </si>
  <si>
    <t>Assessment</t>
  </si>
  <si>
    <t>Confidence</t>
  </si>
  <si>
    <t>Yes</t>
  </si>
  <si>
    <t>Yes (bg removal, tagging ~50% acc.)</t>
  </si>
  <si>
    <t>Partial</t>
  </si>
  <si>
    <t>Partial (Enhance)</t>
  </si>
  <si>
    <t>No</t>
  </si>
  <si>
    <t>'Shuffle' reads as CONSTRAINED RANDOMISATION + weather filter, not a learned model. Google AI Futures money is explicitly to change this</t>
  </si>
  <si>
    <t>STRONG (multi-item extraction, colour + fit analysis)</t>
  </si>
  <si>
    <t>Yes (Style Chat)</t>
  </si>
  <si>
    <t>Yes (beautify, try-on)</t>
  </si>
  <si>
    <t>DEEPEST CV STACK in the direct set. Reviews report recommendation quality lagging ingestion quality</t>
  </si>
  <si>
    <t>Yes (bg removal, auto-tag)</t>
  </si>
  <si>
    <t>STRONG</t>
  </si>
  <si>
    <t>DELIBERATELY NOT AN AI PRODUCT. AI used only for ingestion; styling is human/manual</t>
  </si>
  <si>
    <t>Strong</t>
  </si>
  <si>
    <t>Strong (wardrobe templates)</t>
  </si>
  <si>
    <t>Yes (Ask Cladwell = ChatGPT)</t>
  </si>
  <si>
    <t>Core engine looks RULE/TEMPLATE-BASED; the LLM is a bolt-on advice surface. 97F -&gt; boots reports support this</t>
  </si>
  <si>
    <t>NO AI. OPENLY. Pure database + manual tooling</t>
  </si>
  <si>
    <t>Yes?</t>
  </si>
  <si>
    <t>STRONG (avatar try-on)</t>
  </si>
  <si>
    <t>Partial (training)</t>
  </si>
  <si>
    <t>Claims a dozen-plus in-house fashion-specific generative models. MOST CREDIBLE DEEP-AI CLAIM in the category - but unverified independently</t>
  </si>
  <si>
    <t>Yes ('PAI', closet-grounded)</t>
  </si>
  <si>
    <t>Explicitly RETRIEVAL-GROUNDED CHAT over the user's own items - architecturally the most interesting small-team approach</t>
  </si>
  <si>
    <t>Yes (model try-on)</t>
  </si>
  <si>
    <t>Long-lived rules engine with a recent genAI layer</t>
  </si>
  <si>
    <t>Vesta</t>
  </si>
  <si>
    <t>Reviewers describe it as a RANDOMISER THAT IGNORES ONBOARDING INPUTS. Treat the 'AI' claim sceptically</t>
  </si>
  <si>
    <t>Low-Medium</t>
  </si>
  <si>
    <t>'AI Studio' + batch generator (10/run) suggests COMBINATORIAL GENERATION WITH FILTERS</t>
  </si>
  <si>
    <t>Yes (selfie colour / body)</t>
  </si>
  <si>
    <t>Partial (consultant-authored rules)</t>
  </si>
  <si>
    <t>EXPERT-SYSTEM ARCHITECTURE: codified image-consulting rules + CV feature extraction. Sophisticated WITHIN A NARROW DOMAIN</t>
  </si>
  <si>
    <t>STRONG (Imagen / Gemini)</t>
  </si>
  <si>
    <t>Genuinely heavy genAI, but the intelligence is in IMAGE GENERATION, not styling judgement</t>
  </si>
  <si>
    <t>DEEPEST GENUINE HYBRID. A decade of labelled human-stylist decisions is the moat</t>
  </si>
  <si>
    <t>THE HONEST READ ON 'AI' IN THIS CATEGORY:</t>
  </si>
  <si>
    <t>1. COMPUTER VISION FOR INGESTION IS REAL AND COMMODITISED. Background removal and coarse category/colour tagging work.</t>
  </si>
  <si>
    <t xml:space="preserve">   Accuracy on style, material and pattern is poor - a Whering user's estimate of ~50% correct on style/colour is</t>
  </si>
  <si>
    <t xml:space="preserve">   consistent with what independent reviews report across the field.</t>
  </si>
  <si>
    <t>2. GENERATIVE IMAGERY IS REAL AND RAPIDLY COMMODITISING. Avatar try-on went from Alta's differentiator (mid-2025) to a</t>
  </si>
  <si>
    <t xml:space="preserve">   checkbox in tiny clone apps (2026), with Google having launched AND KILLED a standalone app in the same window.</t>
  </si>
  <si>
    <t>3. STYLING JUDGEMENT IS LARGELY NOT AI. The dominant pattern is: filter the wardrobe by category and season -&gt; apply a</t>
  </si>
  <si>
    <t xml:space="preserve">   colour-compatibility heuristic -&gt; randomise -&gt; present. LLMs are typically bolted on as a CHAT SURFACE rather than</t>
  </si>
  <si>
    <t xml:space="preserve">   being the recommender. The recurring user complaint - 'it feels like a randomiser' - is a technically accurate</t>
  </si>
  <si>
    <t xml:space="preserve">   description of most implementations.</t>
  </si>
  <si>
    <t>4. THE ONE THING NOBODY HAS: a learned model of an individual's taste from behaviour at scale. Every product claims it.</t>
  </si>
  <si>
    <t xml:space="preserve">   No product documents it, exposes it, or demonstrates it. Stitch Fix is the closest, and it needed a decade of</t>
  </si>
  <si>
    <t xml:space="preserve">   human-stylist labels to get there.</t>
  </si>
  <si>
    <t>TABLE STAKES vs DIFFERENTIATORS vs EMERGING</t>
  </si>
  <si>
    <t>Derived from observed prevalence across the researched set, not from intuition. Filterable by Classification.</t>
  </si>
  <si>
    <t>Classification</t>
  </si>
  <si>
    <t>Group</t>
  </si>
  <si>
    <t>Who has it / evidence</t>
  </si>
  <si>
    <t>Why it sits here</t>
  </si>
  <si>
    <t>TABLE STAKES</t>
  </si>
  <si>
    <t>Digitisation</t>
  </si>
  <si>
    <t>Photograph + camera-roll upload; bulk upload</t>
  </si>
  <si>
    <t>All 9</t>
  </si>
  <si>
    <t>Present in the large majority; absence is a credibility problem</t>
  </si>
  <si>
    <t>Automatic background removal</t>
  </si>
  <si>
    <t>All except Stylebook</t>
  </si>
  <si>
    <t>Only Stylebook lacks it, and it is the single most-cited reason its setup is called a 6-8 hour job</t>
  </si>
  <si>
    <t>Automatic category and colour tagging</t>
  </si>
  <si>
    <t>Commodity CV</t>
  </si>
  <si>
    <t>Manual override of every AI-assigned attribute</t>
  </si>
  <si>
    <t>Necessary because tagging accuracy is ~50%</t>
  </si>
  <si>
    <t>Add item from a product URL / share sheet</t>
  </si>
  <si>
    <t>All except Vesta</t>
  </si>
  <si>
    <t>Vesta's lack of this is called out directly in reviews</t>
  </si>
  <si>
    <t>Closet</t>
  </si>
  <si>
    <t>Filter and sort by category, colour, brand, season, occasion</t>
  </si>
  <si>
    <t>Baseline</t>
  </si>
  <si>
    <t>Custom tags; archive / off-season</t>
  </si>
  <si>
    <t>All (Pureple paywalls it; Stylebook is device-local)</t>
  </si>
  <si>
    <t>Styling &amp; planning</t>
  </si>
  <si>
    <t>Outfit builder (manual)</t>
  </si>
  <si>
    <t>Generate outfit combinations from owned items</t>
  </si>
  <si>
    <t>All except Indyx (deliberate)</t>
  </si>
  <si>
    <t>Weather-aware suggestion</t>
  </si>
  <si>
    <t>All (Pureple paywalls it)</t>
  </si>
  <si>
    <t>Outfit calendar; log what you wore</t>
  </si>
  <si>
    <t>Packing list</t>
  </si>
  <si>
    <t>Analytics</t>
  </si>
  <si>
    <t>Wear counts; most / least worn; COST PER WEAR</t>
  </si>
  <si>
    <t>The category's signature metric</t>
  </si>
  <si>
    <t>Commercial</t>
  </si>
  <si>
    <t>A genuinely usable free tier</t>
  </si>
  <si>
    <t>All except Stylebook (one-time fee)</t>
  </si>
  <si>
    <t>Sub-60-second onboarding to a first screen</t>
  </si>
  <si>
    <t>DIFFERENTIATOR</t>
  </si>
  <si>
    <t>Ingestion</t>
  </si>
  <si>
    <t>Zero-effort ingestion at scale (inbox OAuth, multi-garment photo parsing, retailer sync)</t>
  </si>
  <si>
    <t>Acloset; Alta; Pronti (partial); Indyx (via humans)</t>
  </si>
  <si>
    <t>Requires integrations, permissions trust, and genuinely good CV</t>
  </si>
  <si>
    <t>Service</t>
  </si>
  <si>
    <t>Human stylists inside the product</t>
  </si>
  <si>
    <t>Indyx; Wishi; Stitch Fix</t>
  </si>
  <si>
    <t>Operational, not technical - and therefore hard for engineering-led teams</t>
  </si>
  <si>
    <t>In-home professional cataloguing</t>
  </si>
  <si>
    <t>Physical operations</t>
  </si>
  <si>
    <t>Visualisation</t>
  </si>
  <si>
    <t>Own-likeness try-on that is actually good</t>
  </si>
  <si>
    <t>Alta; Glance AI; Stitch Fix Vision</t>
  </si>
  <si>
    <t>WAS a moat; COMMODITISING FAST</t>
  </si>
  <si>
    <t>Intelligence</t>
  </si>
  <si>
    <t>Real behavioural learning</t>
  </si>
  <si>
    <t>Arguably NOBODY yet</t>
  </si>
  <si>
    <t>Needs volume, retention and labels simultaneously</t>
  </si>
  <si>
    <t>Distribution</t>
  </si>
  <si>
    <t>Distribution outside the App Store</t>
  </si>
  <si>
    <t>Glance AI (OEM / lock screen)</t>
  </si>
  <si>
    <t>Capital + partnerships</t>
  </si>
  <si>
    <t>Brand-side embed / identity layer</t>
  </si>
  <si>
    <t>Alta; Daydream</t>
  </si>
  <si>
    <t>Enterprise sales motion</t>
  </si>
  <si>
    <t>Network</t>
  </si>
  <si>
    <t>Social graph around REAL wardrobes</t>
  </si>
  <si>
    <t>Whering; Indyx; Combyne</t>
  </si>
  <si>
    <t>Network effects; slow to build, hard to copy</t>
  </si>
  <si>
    <t>Scale</t>
  </si>
  <si>
    <t>Genuine wardrobe scale (10M users; 20M-item DB)</t>
  </si>
  <si>
    <t>Whering; Combyne; Acloset</t>
  </si>
  <si>
    <t>Time + luck</t>
  </si>
  <si>
    <t>Operations</t>
  </si>
  <si>
    <t>Aftercare / repair network</t>
  </si>
  <si>
    <t>Physical supply network</t>
  </si>
  <si>
    <t>Positioning</t>
  </si>
  <si>
    <t>Depth of manual control + one-time price</t>
  </si>
  <si>
    <t>Counter-positioning; incumbents cannot copy without breaking their business model</t>
  </si>
  <si>
    <t>GetWardrobe; Wardrowbe</t>
  </si>
  <si>
    <t>Trivially copyable - currently differentiated only by neglect</t>
  </si>
  <si>
    <t>Domain expertise</t>
  </si>
  <si>
    <t>Codified expert styling rules (colour analysis)</t>
  </si>
  <si>
    <t>Style DNA; Alta</t>
  </si>
  <si>
    <t>Requires real domain expertise, not just models</t>
  </si>
  <si>
    <t>Non-binary / gender-expansive design</t>
  </si>
  <si>
    <t>Copyable; currently a values signal</t>
  </si>
  <si>
    <t>Architecture</t>
  </si>
  <si>
    <t>Privacy architecture / self-hosting</t>
  </si>
  <si>
    <t>Wardrowbe; Libre Closet</t>
  </si>
  <si>
    <t>Contrarian; limits monetisation</t>
  </si>
  <si>
    <t>EMERGING / FUTURE</t>
  </si>
  <si>
    <t>Passive wardrobe capture (scan camera roll / existing photos)</t>
  </si>
  <si>
    <t>Whering has FUNDED it; nobody ships it</t>
  </si>
  <si>
    <t>Structurally the biggest lever in the category</t>
  </si>
  <si>
    <t>Laundry- and availability-aware recommendations</t>
  </si>
  <si>
    <t>Nobody</t>
  </si>
  <si>
    <t>The missing constraint that makes today's suggestions quietly wrong</t>
  </si>
  <si>
    <t>Commerce</t>
  </si>
  <si>
    <t>Agentic purchase execution</t>
  </si>
  <si>
    <t>Alta roadmap; Amazon Rufus; OpenAI checkout</t>
  </si>
  <si>
    <t>The AI buys, returns and manages the transaction</t>
  </si>
  <si>
    <t>Portable style / body identity across retailers</t>
  </si>
  <si>
    <t>Alta's explicit thesis</t>
  </si>
  <si>
    <t>Would make the wardrobe app infrastructure rather than an app</t>
  </si>
  <si>
    <t>Physical</t>
  </si>
  <si>
    <t>In-store real-time 'does this work with my closet?'</t>
  </si>
  <si>
    <t>Highest-intent moment; entirely unserved</t>
  </si>
  <si>
    <t>Size memory per brand + returns prediction</t>
  </si>
  <si>
    <t>Directly attacks retail's biggest cost centre</t>
  </si>
  <si>
    <t>Multimodal reasoning over user inspiration (Pinterest boards, saved Reels)</t>
  </si>
  <si>
    <t>Would replace quizzes as the primary taste input</t>
  </si>
  <si>
    <t>Content</t>
  </si>
  <si>
    <t>Genuinely personalised styling EDUCATION</t>
  </si>
  <si>
    <t>Cladwell closest (courses); human stylists natively</t>
  </si>
  <si>
    <t>Teaching the user the rules for their body/colouring - value compounds even off-app</t>
  </si>
  <si>
    <t>Market</t>
  </si>
  <si>
    <t>Culturally-native taxonomies and occasions</t>
  </si>
  <si>
    <t>Largest unserved geography-linked gap; directly relevant to India</t>
  </si>
  <si>
    <t>Regulatory</t>
  </si>
  <si>
    <t>Garment digital passports / compliance data</t>
  </si>
  <si>
    <t>EU DPP and EPR regimes make the wardrobe app a compliance surface</t>
  </si>
  <si>
    <t>Household / child wardrobes with growth prediction</t>
  </si>
  <si>
    <t>GetWardrobe (adults only)</t>
  </si>
  <si>
    <t>High frequency, high pain, near-zero competition</t>
  </si>
  <si>
    <t>Longevity / anti-trend advice as an explicit stance</t>
  </si>
  <si>
    <t>Cladwell implies it</t>
  </si>
  <si>
    <t>Explicit opposition to affiliate incentives</t>
  </si>
  <si>
    <t>RESEARCH GAPS - WHAT TO INVESTIGATE NEXT</t>
  </si>
  <si>
    <t>Prioritised. Work Tier 1 first: those five gaps block confident conclusions about the whole category.</t>
  </si>
  <si>
    <t>Research gap</t>
  </si>
  <si>
    <t>Why it matters</t>
  </si>
  <si>
    <t>How to close it</t>
  </si>
  <si>
    <t>Tier 1 - Blocking</t>
  </si>
  <si>
    <t>No hands-on testing of any product</t>
  </si>
  <si>
    <t>Every mark in the Feature Matrix is a CLAIM. Actual recommendation quality is the central unknown in the category</t>
  </si>
  <si>
    <t>Build one identical 80-120 item wardrobe; run it through Whering, Acloset, Alta, Pronti, Cladwell, Pureple; score outputs blind</t>
  </si>
  <si>
    <t>Open</t>
  </si>
  <si>
    <t>Does ANYTHING actually learn?</t>
  </si>
  <si>
    <t>The entire 'AI stylist' premise rests on it, and I found zero verification</t>
  </si>
  <si>
    <t>Controlled test: reject the same category 20x and measure whether the distribution shifts</t>
  </si>
  <si>
    <t>Retention and abandonment data</t>
  </si>
  <si>
    <t>Every qualitative source suggests catastrophic abandonment; no product publishes it</t>
  </si>
  <si>
    <t>Sensor Tower / data.ai cohort retention; App Store review recency analysis; Reddit longitudinal threads</t>
  </si>
  <si>
    <t>Is calendar integration real OAuth or in-app events?</t>
  </si>
  <si>
    <t>Materially changes the sophistication rating for Alta, Acloset and Pronti</t>
  </si>
  <si>
    <t>Direct app testing; permission-prompt inspection</t>
  </si>
  <si>
    <t>Alta's 'dozen in-house models' claim</t>
  </si>
  <si>
    <t>The most consequential technical claim in the category</t>
  </si>
  <si>
    <t>Engineering blog, job postings, patent filings, hands-on testing, founder talks</t>
  </si>
  <si>
    <t>Tier 2 - Important</t>
  </si>
  <si>
    <t>Acloset funding and true scale</t>
  </si>
  <si>
    <t>Sources give $2.57M vs $63M; users given as 4M / 7M / 8M</t>
  </si>
  <si>
    <t>Korean-language sources (The VC, Startup Recipe), DART filings, Looko Inc. registry</t>
  </si>
  <si>
    <t>Open - CONFLICT FLAGGED</t>
  </si>
  <si>
    <t>Cladwell's actual pricing and business state</t>
  </si>
  <si>
    <t>Free vs $60 vs $79/yr; several reviews suggest stalled development</t>
  </si>
  <si>
    <t>App Store pricing snapshot, release-note cadence, founder interviews</t>
  </si>
  <si>
    <t>Whering's monetisation reality</t>
  </si>
  <si>
    <t>10M users, ~14 employees, ~$14M total raised - what is the revenue engine?</t>
  </si>
  <si>
    <t>WWD / Sifted follow-ups, UK Companies House filings</t>
  </si>
  <si>
    <t>Verify Doppl's shutdown (30 Apr 2026)</t>
  </si>
  <si>
    <t>Currently single-source</t>
  </si>
  <si>
    <t>Google Labs official page; Google support notices</t>
  </si>
  <si>
    <t>Open - SINGLE SOURCE</t>
  </si>
  <si>
    <t>Indyx's stylist unit economics</t>
  </si>
  <si>
    <t>Is human styling scalable, or a premium veneer?</t>
  </si>
  <si>
    <t>Pricing pages, stylist recruitment posts, founder interviews</t>
  </si>
  <si>
    <t>Combyne's engagement metrics</t>
  </si>
  <si>
    <t>Why does the LEAST useful product have the strongest loop?</t>
  </si>
  <si>
    <t>German-language press; Sensor Tower session data</t>
  </si>
  <si>
    <t>Where the 'clone app' cohort actually comes from</t>
  </si>
  <si>
    <t>Same store copy across dozens of 2025-26 launches</t>
  </si>
  <si>
    <t>Developer entity mapping; identify shared templates / agencies</t>
  </si>
  <si>
    <t>Tier 3 - Strategic context</t>
  </si>
  <si>
    <t>India specifically</t>
  </si>
  <si>
    <t>Myntra Maya / MyFashionGPT / Try On Me depth; Glance AI India traction; whether any India-native wardrobe app exists; sari/kurta taxonomy; willingness to pay for subscriptions</t>
  </si>
  <si>
    <t>Indian trade press, Inc42, app store India charts, direct testing</t>
  </si>
  <si>
    <t>Open - HIGH PRIORITY given user location</t>
  </si>
  <si>
    <t>Male users</t>
  </si>
  <si>
    <t>Every product is female-default. Is the male market unserved or non-existent?</t>
  </si>
  <si>
    <t>Review demographics, Pronti (gender-neutral) data, Reddit r/malefashionadvice</t>
  </si>
  <si>
    <t>The ChatGPT substitute</t>
  </si>
  <si>
    <t>How many people already use general LLMs for outfit advice, and what does that do to willingness-to-pay?</t>
  </si>
  <si>
    <t>Survey data, Reddit, app-review mentions</t>
  </si>
  <si>
    <t>Privacy posture</t>
  </si>
  <si>
    <t>Do these apps train on user body / selfie images? Materially affects trust positioning</t>
  </si>
  <si>
    <t>Privacy policies, App Store privacy labels, DPAs</t>
  </si>
  <si>
    <t>What happened to the failures</t>
  </si>
  <si>
    <t>Finery, Stylitics (pivoted B2B), Snap Fashion, The Yes, Mode/Cloth. The graveyard is more instructive than the survivors</t>
  </si>
  <si>
    <t>Post-mortems, acquisition notices, founder interviews</t>
  </si>
  <si>
    <t>Try-on quality benchmarking</t>
  </si>
  <si>
    <t>Alta vs Glance vs Stitch Fix Vision vs open models, on the same garment/person pairs</t>
  </si>
  <si>
    <t>Controlled side-by-side generation test</t>
  </si>
  <si>
    <t>Affiliate economics</t>
  </si>
  <si>
    <t>Actual take rates in fashion; whether an affiliate-only wardrobe app can cover CAC</t>
  </si>
  <si>
    <t>Affiliate network rate cards; Phia/Alta disclosures</t>
  </si>
  <si>
    <t>The regulatory tailwind</t>
  </si>
  <si>
    <t>EU Digital Product Passport, EPR, French repair fund - do these create a B2B pull that reshapes the consumer product?</t>
  </si>
  <si>
    <t>EU regulatory texts; Save Your Wardrobe B2B materials</t>
  </si>
  <si>
    <t>SOURCES AND RELIABILITY</t>
  </si>
  <si>
    <t>Every source used, what it was used for, and how much to trust it. The 'LOW RELIABILITY - flagged' rows were deliberately EXCLUDED from conclusions.</t>
  </si>
  <si>
    <t>Source type</t>
  </si>
  <si>
    <t>Source</t>
  </si>
  <si>
    <t>Used for</t>
  </si>
  <si>
    <t>Reliability</t>
  </si>
  <si>
    <t>Primary - company</t>
  </si>
  <si>
    <t>whering.co / Google Play / App Store listings</t>
  </si>
  <si>
    <t>Whering features, roadmap, positioning</t>
  </si>
  <si>
    <t>High for claims, not for quality</t>
  </si>
  <si>
    <t>acloset.app / App Store / Play / Aptoide release notes</t>
  </si>
  <si>
    <t>Acloset features, Gmail import, Style Chat, try-on</t>
  </si>
  <si>
    <t>High for claims</t>
  </si>
  <si>
    <t>myindyx.com / App Store / Play full feature list</t>
  </si>
  <si>
    <t>Indyx features, Archivist, Insider tier</t>
  </si>
  <si>
    <t>cladwell.com / App Store / Play</t>
  </si>
  <si>
    <t>Cladwell features, Ask Cladwell, capsule programme</t>
  </si>
  <si>
    <t>High for claims; PRICING CONFLICTS</t>
  </si>
  <si>
    <t>App Store listing (Stylebook)</t>
  </si>
  <si>
    <t>Stylebook scope, one-time price, iOS-only</t>
  </si>
  <si>
    <t>altadaily.com; Menlo Ventures post</t>
  </si>
  <si>
    <t>Alta model claims, brand partnerships</t>
  </si>
  <si>
    <t>High for claims; unverified technically</t>
  </si>
  <si>
    <t>pronti.com tutorial pages; App Store release notes</t>
  </si>
  <si>
    <t>Pronti PAI, credits, gender slider, receipts</t>
  </si>
  <si>
    <t>pureple.com / App Store / Play</t>
  </si>
  <si>
    <t>Pureple try-on, feedback AI, pricing</t>
  </si>
  <si>
    <t>Medium - pricing varies by source</t>
  </si>
  <si>
    <t>getwardrobe.com / App Store / Play</t>
  </si>
  <si>
    <t>GetWardrobe AI Studio, family wardrobes, stylist dashboard</t>
  </si>
  <si>
    <t>vestatheapp.com / App Store</t>
  </si>
  <si>
    <t>Vesta features</t>
  </si>
  <si>
    <t>saveyourwardrobe.com + b2b.saveyourwardrobe.com</t>
  </si>
  <si>
    <t>SYW consumer app + B2B aftersales pivot</t>
  </si>
  <si>
    <t>combyne.com / About page / App Store</t>
  </si>
  <si>
    <t>Combyne scale (10M+), challenges, catalogue</t>
  </si>
  <si>
    <t>wishi.me / personalstyling.wishi.me</t>
  </si>
  <si>
    <t>Wishi model</t>
  </si>
  <si>
    <t>newsroom.stitchfix.com</t>
  </si>
  <si>
    <t>Stitch Fix AI Style Assistant, Vision</t>
  </si>
  <si>
    <t>blog.google (Doppl launch)</t>
  </si>
  <si>
    <t>Google Doppl launch, video try-on</t>
  </si>
  <si>
    <t>Press - tier 1</t>
  </si>
  <si>
    <t>TechCrunch (Alta $11M; Alta x Public School; Google VTO expansion; Glance)</t>
  </si>
  <si>
    <t>Alta funding, enterprise motion, Google VTO</t>
  </si>
  <si>
    <t>WWD (Whering $7M)</t>
  </si>
  <si>
    <t>Whering funding, 10M users, founder rationale, eBay/Google strategy</t>
  </si>
  <si>
    <t>Forbes (Alta; Phia; Glance x Samsung)</t>
  </si>
  <si>
    <t>Alta positioning; Phia Series A; Glance distribution</t>
  </si>
  <si>
    <t>Tech.eu / TheIndustry.fashion / Startup.eu (Whering)</t>
  </si>
  <si>
    <t>Whering round details, roadmap (VTO, gallery scanning, resale)</t>
  </si>
  <si>
    <t>GlobeNewswire (Phia Series A); PRNewswire (Daydream seed + Powered by Daydream)</t>
  </si>
  <si>
    <t>Phia and Daydream metrics</t>
  </si>
  <si>
    <t>High - but company-issued</t>
  </si>
  <si>
    <t>Digital Commerce 360 / FashionNetwork (Stitch Fix Vision)</t>
  </si>
  <si>
    <t>Stitch Fix Vision, 'See it on me', Q3 FY26 numbers</t>
  </si>
  <si>
    <t>Press - trade</t>
  </si>
  <si>
    <t>Retail Insider / CBC (Pronti)</t>
  </si>
  <si>
    <t>Pronti origin, Shopify app, TikTok virality</t>
  </si>
  <si>
    <t>Inc42 / Analytics India Mag / Retail Tech Innovation Hub (Glance AI)</t>
  </si>
  <si>
    <t>Glance AI mechanics, brand count, India rollout</t>
  </si>
  <si>
    <t>Elle India (Myntra AI stack)</t>
  </si>
  <si>
    <t>Maya, Fit Visualisation, Try On Me</t>
  </si>
  <si>
    <t>Modern Luxury / Inc. (Alta)</t>
  </si>
  <si>
    <t>Alta founder background, model inputs</t>
  </si>
  <si>
    <t>User evidence</t>
  </si>
  <si>
    <t>App Store and Google Play reviews (all products)</t>
  </si>
  <si>
    <t>Tagging accuracy ~50%, randomiser complaints, ad/paywall complaints, feature requests</t>
  </si>
  <si>
    <t>HIGH VALUE - the best counterweight to marketing copy</t>
  </si>
  <si>
    <t>Substack: fafafoom.substack.com; marcellesaulnier.substack.com</t>
  </si>
  <si>
    <t>Cataloguing tedium; abandonment; why users leave</t>
  </si>
  <si>
    <t>Medium-High - individual but candid</t>
  </si>
  <si>
    <t>Independent review</t>
  </si>
  <si>
    <t>stylewithingrace.com; theeliseedit.com (Indyx)</t>
  </si>
  <si>
    <t>Indyx Insider tier, Lookbook, analytics</t>
  </si>
  <si>
    <t>thelaurieloo.com (Cladwell)</t>
  </si>
  <si>
    <t>Cladwell mechanics, capsule creation</t>
  </si>
  <si>
    <t>Data provider</t>
  </si>
  <si>
    <t>Crunchbase; CB Insights; Tracxn</t>
  </si>
  <si>
    <t>Funding, headcount, HQ</t>
  </si>
  <si>
    <t>Medium - CONFLICTS between providers on Acloset</t>
  </si>
  <si>
    <t>LOW RELIABILITY - flagged</t>
  </si>
  <si>
    <t>businessmodelcanvastemplate.com; startuphub.ai</t>
  </si>
  <si>
    <t>(EXCLUDED from conclusions)</t>
  </si>
  <si>
    <t>LOW - appear LLM-generated; confident unsourced financials</t>
  </si>
  <si>
    <t>Competitor comparison blogs: Outflik, StylePal, Nouva, Wardrowbe, Clueless, capsulewardrobe.ai, Beauty AI, FashionAdvice.ai</t>
  </si>
  <si>
    <t>Used ONLY for leads to discover products, never as evidence about a competitor</t>
  </si>
  <si>
    <t>LOW - these are content marketing published BY small wardrobe apps</t>
  </si>
  <si>
    <t>doppl.art; doppl-ai.com</t>
  </si>
  <si>
    <t>(EXCLUDED) Third-party sites unaffiliated with Google; claims contradict Google's own</t>
  </si>
  <si>
    <t>jetstream.blog (Doppl shutdown)</t>
  </si>
  <si>
    <t>Doppl shutdown date 30 Apr 2026</t>
  </si>
  <si>
    <t>SINGLE SOURCE - flagged for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</si>
</sst>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2E5C9A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15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404040"/>
      <name val="Arial"/>
      <charset val="1"/>
    </font>
    <font>
      <sz val="8"/>
      <color rgb="FF595959"/>
      <name val="Arial"/>
      <charset val="1"/>
    </font>
    <font>
      <sz val="8"/>
      <color rgb="FF333333"/>
      <name val="Arial"/>
      <charset val="1"/>
    </font>
    <font>
      <b/>
      <sz val="9"/>
      <color rgb="FFFFFFFF"/>
      <name val="Arial"/>
      <charset val="1"/>
    </font>
    <font>
      <b/>
      <sz val="10"/>
      <name val="Arial"/>
      <charset val="1"/>
    </font>
    <font>
      <sz val="9"/>
      <color rgb="FF808080"/>
      <name val="Arial"/>
      <charset val="1"/>
    </font>
    <font>
      <sz val="8"/>
      <name val="Arial"/>
      <charset val="1"/>
    </font>
    <font>
      <b/>
      <sz val="8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2E5C9A"/>
        <bgColor rgb="FF333399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A9D08E"/>
        <bgColor rgb="FFC6E0B4"/>
      </patternFill>
    </fill>
    <fill>
      <patternFill patternType="solid">
        <fgColor rgb="FFC6E0B4"/>
        <bgColor rgb="FFE2EFDA"/>
      </patternFill>
    </fill>
    <fill>
      <patternFill patternType="solid">
        <fgColor rgb="FFF8CBAD"/>
        <bgColor rgb="FFFFC7CE"/>
      </patternFill>
    </fill>
    <fill>
      <patternFill patternType="solid">
        <fgColor rgb="FFF2F2F2"/>
        <bgColor rgb="FFE2EFDA"/>
      </patternFill>
    </fill>
    <fill>
      <patternFill patternType="solid">
        <fgColor rgb="FFFCE4E4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/>
    <xf numFmtId="0" fontId="10" fillId="0" borderId="0" xfId="0" applyFont="1"/>
    <xf numFmtId="0" fontId="3" fillId="0" borderId="1" xfId="0" applyFont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 wrapText="1"/>
    </xf>
    <xf numFmtId="0" fontId="11" fillId="0" borderId="0" xfId="0" applyFont="1"/>
    <xf numFmtId="0" fontId="4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6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5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sz val="9"/>
        <color rgb="FF808080"/>
        <name val="Arial"/>
        <charset val="1"/>
      </font>
      <fill>
        <patternFill>
          <bgColor rgb="FFF2F2F2"/>
        </patternFill>
      </fill>
    </dxf>
    <dxf>
      <font>
        <sz val="9"/>
        <color rgb="FFC00000"/>
        <name val="Arial"/>
        <charset val="1"/>
      </font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5C9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CE4E4"/>
      <rgbColor rgb="FFA9D08E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57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3" width="105" customWidth="1"/>
  </cols>
  <sheetData>
    <row r="1" spans="2:3" ht="20" x14ac:dyDescent="0.4">
      <c r="B1" s="1" t="s">
        <v>0</v>
      </c>
    </row>
    <row r="2" spans="2:3" x14ac:dyDescent="0.35">
      <c r="B2" s="2" t="s">
        <v>1</v>
      </c>
    </row>
    <row r="4" spans="2:3" ht="13.5" customHeight="1" x14ac:dyDescent="0.35">
      <c r="B4" s="3"/>
      <c r="C4" s="4"/>
    </row>
    <row r="5" spans="2:3" ht="13.5" customHeight="1" x14ac:dyDescent="0.35">
      <c r="B5" s="5"/>
      <c r="C5" s="6" t="s">
        <v>2</v>
      </c>
    </row>
    <row r="6" spans="2:3" ht="13.5" customHeight="1" x14ac:dyDescent="0.35">
      <c r="B6" s="3" t="s">
        <v>3</v>
      </c>
      <c r="C6" s="4" t="s">
        <v>4</v>
      </c>
    </row>
    <row r="7" spans="2:3" ht="13.5" customHeight="1" x14ac:dyDescent="0.35">
      <c r="B7" s="3" t="s">
        <v>5</v>
      </c>
      <c r="C7" s="4" t="s">
        <v>6</v>
      </c>
    </row>
    <row r="8" spans="2:3" ht="25.5" customHeight="1" x14ac:dyDescent="0.35">
      <c r="B8" s="3" t="s">
        <v>7</v>
      </c>
      <c r="C8" s="4" t="s">
        <v>8</v>
      </c>
    </row>
    <row r="9" spans="2:3" ht="13.5" customHeight="1" x14ac:dyDescent="0.35">
      <c r="B9" s="3"/>
      <c r="C9" s="4"/>
    </row>
    <row r="10" spans="2:3" ht="13.5" customHeight="1" x14ac:dyDescent="0.35">
      <c r="B10" s="5"/>
      <c r="C10" s="6" t="s">
        <v>9</v>
      </c>
    </row>
    <row r="11" spans="2:3" ht="25.5" customHeight="1" x14ac:dyDescent="0.35">
      <c r="B11" s="3" t="s">
        <v>10</v>
      </c>
      <c r="C11" s="4" t="s">
        <v>11</v>
      </c>
    </row>
    <row r="12" spans="2:3" ht="13.5" customHeight="1" x14ac:dyDescent="0.35">
      <c r="B12" s="3" t="s">
        <v>12</v>
      </c>
      <c r="C12" s="4" t="s">
        <v>13</v>
      </c>
    </row>
    <row r="13" spans="2:3" ht="13.5" customHeight="1" x14ac:dyDescent="0.35">
      <c r="B13" s="3" t="s">
        <v>14</v>
      </c>
      <c r="C13" s="4" t="s">
        <v>15</v>
      </c>
    </row>
    <row r="14" spans="2:3" ht="25.5" customHeight="1" x14ac:dyDescent="0.35">
      <c r="B14" s="3" t="s">
        <v>16</v>
      </c>
      <c r="C14" s="4" t="s">
        <v>17</v>
      </c>
    </row>
    <row r="15" spans="2:3" ht="25.5" customHeight="1" x14ac:dyDescent="0.35">
      <c r="B15" s="3" t="s">
        <v>18</v>
      </c>
      <c r="C15" s="4" t="s">
        <v>19</v>
      </c>
    </row>
    <row r="16" spans="2:3" ht="13.5" customHeight="1" x14ac:dyDescent="0.35">
      <c r="B16" s="3" t="s">
        <v>20</v>
      </c>
      <c r="C16" s="4" t="s">
        <v>21</v>
      </c>
    </row>
    <row r="17" spans="2:3" ht="13.5" customHeight="1" x14ac:dyDescent="0.35">
      <c r="B17" s="3" t="s">
        <v>22</v>
      </c>
      <c r="C17" s="4" t="s">
        <v>23</v>
      </c>
    </row>
    <row r="18" spans="2:3" ht="13.5" customHeight="1" x14ac:dyDescent="0.35">
      <c r="B18" s="3" t="s">
        <v>24</v>
      </c>
      <c r="C18" s="4" t="s">
        <v>25</v>
      </c>
    </row>
    <row r="19" spans="2:3" ht="13.5" customHeight="1" x14ac:dyDescent="0.35">
      <c r="B19" s="3" t="s">
        <v>26</v>
      </c>
      <c r="C19" s="4" t="s">
        <v>27</v>
      </c>
    </row>
    <row r="20" spans="2:3" ht="13.5" customHeight="1" x14ac:dyDescent="0.35">
      <c r="B20" s="3" t="s">
        <v>28</v>
      </c>
      <c r="C20" s="4" t="s">
        <v>29</v>
      </c>
    </row>
    <row r="21" spans="2:3" ht="13.5" customHeight="1" x14ac:dyDescent="0.35">
      <c r="B21" s="3"/>
      <c r="C21" s="4"/>
    </row>
    <row r="22" spans="2:3" ht="13.5" customHeight="1" x14ac:dyDescent="0.35">
      <c r="B22" s="5"/>
      <c r="C22" s="6" t="s">
        <v>30</v>
      </c>
    </row>
    <row r="23" spans="2:3" ht="13.5" customHeight="1" x14ac:dyDescent="0.35">
      <c r="B23" s="3" t="s">
        <v>31</v>
      </c>
      <c r="C23" s="4" t="s">
        <v>32</v>
      </c>
    </row>
    <row r="24" spans="2:3" ht="13.5" customHeight="1" x14ac:dyDescent="0.35">
      <c r="B24" s="3" t="s">
        <v>33</v>
      </c>
      <c r="C24" s="4" t="s">
        <v>34</v>
      </c>
    </row>
    <row r="25" spans="2:3" ht="13.5" customHeight="1" x14ac:dyDescent="0.35">
      <c r="B25" s="3" t="s">
        <v>35</v>
      </c>
      <c r="C25" s="4" t="s">
        <v>36</v>
      </c>
    </row>
    <row r="26" spans="2:3" ht="13.5" customHeight="1" x14ac:dyDescent="0.35">
      <c r="B26" s="3" t="s">
        <v>37</v>
      </c>
      <c r="C26" s="4" t="s">
        <v>38</v>
      </c>
    </row>
    <row r="27" spans="2:3" ht="13.5" customHeight="1" x14ac:dyDescent="0.35">
      <c r="B27" s="3" t="s">
        <v>39</v>
      </c>
      <c r="C27" s="4" t="s">
        <v>40</v>
      </c>
    </row>
    <row r="28" spans="2:3" ht="13.5" customHeight="1" x14ac:dyDescent="0.35">
      <c r="B28" s="3" t="s">
        <v>41</v>
      </c>
      <c r="C28" s="4" t="s">
        <v>42</v>
      </c>
    </row>
    <row r="29" spans="2:3" ht="13.5" customHeight="1" x14ac:dyDescent="0.35">
      <c r="B29" s="3" t="s">
        <v>43</v>
      </c>
      <c r="C29" s="4" t="s">
        <v>44</v>
      </c>
    </row>
    <row r="30" spans="2:3" ht="13.5" customHeight="1" x14ac:dyDescent="0.35">
      <c r="B30" s="3" t="s">
        <v>45</v>
      </c>
      <c r="C30" s="4" t="s">
        <v>46</v>
      </c>
    </row>
    <row r="31" spans="2:3" ht="13.5" customHeight="1" x14ac:dyDescent="0.35">
      <c r="B31" s="3" t="s">
        <v>47</v>
      </c>
      <c r="C31" s="4" t="s">
        <v>48</v>
      </c>
    </row>
    <row r="32" spans="2:3" ht="13.5" customHeight="1" x14ac:dyDescent="0.35">
      <c r="B32" s="3"/>
      <c r="C32" s="4"/>
    </row>
    <row r="33" spans="2:3" ht="13.5" customHeight="1" x14ac:dyDescent="0.35">
      <c r="B33" s="5"/>
      <c r="C33" s="6" t="s">
        <v>49</v>
      </c>
    </row>
    <row r="34" spans="2:3" ht="13.5" customHeight="1" x14ac:dyDescent="0.35">
      <c r="B34" s="3" t="s">
        <v>50</v>
      </c>
      <c r="C34" s="4" t="s">
        <v>51</v>
      </c>
    </row>
    <row r="35" spans="2:3" ht="13.5" customHeight="1" x14ac:dyDescent="0.35">
      <c r="B35" s="3" t="s">
        <v>52</v>
      </c>
      <c r="C35" s="4" t="s">
        <v>53</v>
      </c>
    </row>
    <row r="36" spans="2:3" ht="13.5" customHeight="1" x14ac:dyDescent="0.35">
      <c r="B36" s="3" t="s">
        <v>54</v>
      </c>
      <c r="C36" s="4" t="s">
        <v>55</v>
      </c>
    </row>
    <row r="37" spans="2:3" ht="13.5" customHeight="1" x14ac:dyDescent="0.35">
      <c r="B37" s="3" t="s">
        <v>56</v>
      </c>
      <c r="C37" s="4" t="s">
        <v>57</v>
      </c>
    </row>
    <row r="38" spans="2:3" ht="13.5" customHeight="1" x14ac:dyDescent="0.35">
      <c r="B38" s="3" t="s">
        <v>37</v>
      </c>
      <c r="C38" s="4" t="s">
        <v>58</v>
      </c>
    </row>
    <row r="39" spans="2:3" ht="13.5" customHeight="1" x14ac:dyDescent="0.35">
      <c r="B39" s="3" t="s">
        <v>59</v>
      </c>
      <c r="C39" s="4" t="s">
        <v>60</v>
      </c>
    </row>
    <row r="40" spans="2:3" ht="13.5" customHeight="1" x14ac:dyDescent="0.35">
      <c r="B40" s="3"/>
      <c r="C40" s="4"/>
    </row>
    <row r="41" spans="2:3" ht="13.5" customHeight="1" x14ac:dyDescent="0.35">
      <c r="B41" s="5"/>
      <c r="C41" s="6" t="s">
        <v>61</v>
      </c>
    </row>
    <row r="42" spans="2:3" ht="13.5" customHeight="1" x14ac:dyDescent="0.35">
      <c r="B42" s="3" t="s">
        <v>62</v>
      </c>
      <c r="C42" s="4" t="s">
        <v>63</v>
      </c>
    </row>
    <row r="43" spans="2:3" ht="13.5" customHeight="1" x14ac:dyDescent="0.35">
      <c r="B43" s="3" t="s">
        <v>64</v>
      </c>
      <c r="C43" s="4" t="s">
        <v>65</v>
      </c>
    </row>
    <row r="44" spans="2:3" ht="13.5" customHeight="1" x14ac:dyDescent="0.35">
      <c r="B44" s="3" t="s">
        <v>66</v>
      </c>
      <c r="C44" s="4" t="s">
        <v>67</v>
      </c>
    </row>
    <row r="45" spans="2:3" ht="13.5" customHeight="1" x14ac:dyDescent="0.35">
      <c r="B45" s="3"/>
      <c r="C45" s="4"/>
    </row>
    <row r="46" spans="2:3" ht="13.5" customHeight="1" x14ac:dyDescent="0.35">
      <c r="B46" s="5"/>
      <c r="C46" s="6" t="s">
        <v>68</v>
      </c>
    </row>
    <row r="47" spans="2:3" ht="39" customHeight="1" x14ac:dyDescent="0.35">
      <c r="B47" s="3" t="s">
        <v>69</v>
      </c>
      <c r="C47" s="4" t="s">
        <v>70</v>
      </c>
    </row>
    <row r="48" spans="2:3" ht="25.5" customHeight="1" x14ac:dyDescent="0.35">
      <c r="B48" s="3" t="s">
        <v>71</v>
      </c>
      <c r="C48" s="4" t="s">
        <v>72</v>
      </c>
    </row>
    <row r="49" spans="2:3" ht="25.5" customHeight="1" x14ac:dyDescent="0.35">
      <c r="B49" s="3" t="s">
        <v>73</v>
      </c>
      <c r="C49" s="4" t="s">
        <v>74</v>
      </c>
    </row>
    <row r="50" spans="2:3" ht="39" customHeight="1" x14ac:dyDescent="0.35">
      <c r="B50" s="3" t="s">
        <v>75</v>
      </c>
      <c r="C50" s="4" t="s">
        <v>76</v>
      </c>
    </row>
    <row r="51" spans="2:3" ht="25.5" customHeight="1" x14ac:dyDescent="0.35">
      <c r="B51" s="3" t="s">
        <v>77</v>
      </c>
      <c r="C51" s="4" t="s">
        <v>78</v>
      </c>
    </row>
    <row r="52" spans="2:3" ht="13.5" customHeight="1" x14ac:dyDescent="0.35">
      <c r="B52" s="3"/>
      <c r="C52" s="4"/>
    </row>
    <row r="53" spans="2:3" ht="13.5" customHeight="1" x14ac:dyDescent="0.35">
      <c r="B53" s="5"/>
      <c r="C53" s="6" t="s">
        <v>79</v>
      </c>
    </row>
    <row r="54" spans="2:3" ht="64.5" customHeight="1" x14ac:dyDescent="0.35">
      <c r="B54" s="3" t="s">
        <v>80</v>
      </c>
      <c r="C54" s="4" t="s">
        <v>81</v>
      </c>
    </row>
    <row r="55" spans="2:3" ht="51.75" customHeight="1" x14ac:dyDescent="0.35">
      <c r="B55" s="3" t="s">
        <v>82</v>
      </c>
      <c r="C55" s="4" t="s">
        <v>83</v>
      </c>
    </row>
    <row r="56" spans="2:3" ht="13.5" customHeight="1" x14ac:dyDescent="0.35">
      <c r="B56" s="3"/>
      <c r="C56" s="4"/>
    </row>
    <row r="57" spans="2:3" ht="25.5" customHeight="1" x14ac:dyDescent="0.35">
      <c r="B57" s="3" t="s">
        <v>84</v>
      </c>
      <c r="C57" s="4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M3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16" customWidth="1"/>
    <col min="2" max="2" width="22" customWidth="1"/>
    <col min="3" max="3" width="18" customWidth="1"/>
    <col min="4" max="4" width="15" customWidth="1"/>
    <col min="5" max="5" width="14" customWidth="1"/>
    <col min="6" max="6" width="32" customWidth="1"/>
    <col min="7" max="7" width="20" customWidth="1"/>
    <col min="8" max="8" width="22" customWidth="1"/>
    <col min="9" max="9" width="34" customWidth="1"/>
    <col min="10" max="10" width="24" customWidth="1"/>
    <col min="11" max="11" width="18" customWidth="1"/>
    <col min="12" max="12" width="40" customWidth="1"/>
    <col min="13" max="13" width="24" customWidth="1"/>
  </cols>
  <sheetData>
    <row r="1" spans="1:13" ht="21.75" customHeight="1" x14ac:dyDescent="0.4">
      <c r="A1" s="7" t="s">
        <v>86</v>
      </c>
    </row>
    <row r="2" spans="1:13" x14ac:dyDescent="0.35">
      <c r="A2" s="8" t="s">
        <v>87</v>
      </c>
    </row>
    <row r="4" spans="1:13" ht="33.75" customHeight="1" x14ac:dyDescent="0.35">
      <c r="A4" s="9" t="s">
        <v>88</v>
      </c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94</v>
      </c>
      <c r="H4" s="9" t="s">
        <v>95</v>
      </c>
      <c r="I4" s="9" t="s">
        <v>96</v>
      </c>
      <c r="J4" s="9" t="s">
        <v>97</v>
      </c>
      <c r="K4" s="9" t="s">
        <v>98</v>
      </c>
      <c r="L4" s="9" t="s">
        <v>99</v>
      </c>
      <c r="M4" s="9" t="s">
        <v>100</v>
      </c>
    </row>
    <row r="5" spans="1:13" ht="57.75" customHeight="1" x14ac:dyDescent="0.35">
      <c r="A5" s="10" t="s">
        <v>101</v>
      </c>
      <c r="B5" s="10" t="s">
        <v>102</v>
      </c>
      <c r="C5" s="10" t="s">
        <v>103</v>
      </c>
      <c r="D5" s="10" t="s">
        <v>104</v>
      </c>
      <c r="E5" s="10" t="s">
        <v>105</v>
      </c>
      <c r="F5" s="10" t="s">
        <v>106</v>
      </c>
      <c r="G5" s="10" t="s">
        <v>107</v>
      </c>
      <c r="H5" s="10" t="s">
        <v>108</v>
      </c>
      <c r="I5" s="10" t="s">
        <v>109</v>
      </c>
      <c r="J5" s="10" t="s">
        <v>110</v>
      </c>
      <c r="K5" s="10" t="s">
        <v>111</v>
      </c>
      <c r="L5" s="10" t="s">
        <v>112</v>
      </c>
      <c r="M5" s="10" t="s">
        <v>113</v>
      </c>
    </row>
    <row r="6" spans="1:13" ht="57.75" customHeight="1" x14ac:dyDescent="0.35">
      <c r="A6" s="10" t="s">
        <v>101</v>
      </c>
      <c r="B6" s="10" t="s">
        <v>114</v>
      </c>
      <c r="C6" s="10" t="s">
        <v>115</v>
      </c>
      <c r="D6" s="10" t="s">
        <v>116</v>
      </c>
      <c r="E6" s="10" t="s">
        <v>117</v>
      </c>
      <c r="F6" s="10" t="s">
        <v>118</v>
      </c>
      <c r="G6" s="10" t="s">
        <v>119</v>
      </c>
      <c r="H6" s="10" t="s">
        <v>120</v>
      </c>
      <c r="I6" s="10" t="s">
        <v>121</v>
      </c>
      <c r="J6" s="10" t="s">
        <v>122</v>
      </c>
      <c r="K6" s="10" t="s">
        <v>123</v>
      </c>
      <c r="L6" s="10" t="s">
        <v>124</v>
      </c>
      <c r="M6" s="10" t="s">
        <v>125</v>
      </c>
    </row>
    <row r="7" spans="1:13" ht="57.75" customHeight="1" x14ac:dyDescent="0.35">
      <c r="A7" s="10" t="s">
        <v>101</v>
      </c>
      <c r="B7" s="10" t="s">
        <v>126</v>
      </c>
      <c r="C7" s="10" t="s">
        <v>127</v>
      </c>
      <c r="D7" s="10" t="s">
        <v>128</v>
      </c>
      <c r="E7" s="10" t="s">
        <v>129</v>
      </c>
      <c r="F7" s="10" t="s">
        <v>130</v>
      </c>
      <c r="G7" s="10" t="s">
        <v>131</v>
      </c>
      <c r="H7" s="10" t="s">
        <v>132</v>
      </c>
      <c r="I7" s="10" t="s">
        <v>133</v>
      </c>
      <c r="J7" s="10" t="s">
        <v>134</v>
      </c>
      <c r="K7" s="10" t="s">
        <v>123</v>
      </c>
      <c r="L7" s="10" t="s">
        <v>135</v>
      </c>
      <c r="M7" s="10" t="s">
        <v>136</v>
      </c>
    </row>
    <row r="8" spans="1:13" ht="57.75" customHeight="1" x14ac:dyDescent="0.35">
      <c r="A8" s="10" t="s">
        <v>101</v>
      </c>
      <c r="B8" s="10" t="s">
        <v>137</v>
      </c>
      <c r="C8" s="10" t="s">
        <v>138</v>
      </c>
      <c r="D8" s="10" t="s">
        <v>139</v>
      </c>
      <c r="E8" s="10" t="s">
        <v>140</v>
      </c>
      <c r="F8" s="10" t="s">
        <v>141</v>
      </c>
      <c r="G8" s="10" t="s">
        <v>142</v>
      </c>
      <c r="H8" s="10" t="s">
        <v>143</v>
      </c>
      <c r="I8" s="10" t="s">
        <v>144</v>
      </c>
      <c r="J8" s="10" t="s">
        <v>145</v>
      </c>
      <c r="K8" s="10" t="s">
        <v>123</v>
      </c>
      <c r="L8" s="10" t="s">
        <v>146</v>
      </c>
      <c r="M8" s="10" t="s">
        <v>147</v>
      </c>
    </row>
    <row r="9" spans="1:13" ht="57.75" customHeight="1" x14ac:dyDescent="0.35">
      <c r="A9" s="10" t="s">
        <v>101</v>
      </c>
      <c r="B9" s="10" t="s">
        <v>148</v>
      </c>
      <c r="C9" s="10" t="s">
        <v>149</v>
      </c>
      <c r="D9" s="10" t="s">
        <v>128</v>
      </c>
      <c r="E9" s="10" t="s">
        <v>150</v>
      </c>
      <c r="F9" s="10" t="s">
        <v>151</v>
      </c>
      <c r="G9" s="10" t="s">
        <v>152</v>
      </c>
      <c r="H9" s="10" t="s">
        <v>153</v>
      </c>
      <c r="I9" s="10" t="s">
        <v>154</v>
      </c>
      <c r="J9" s="10" t="s">
        <v>155</v>
      </c>
      <c r="K9" s="10" t="s">
        <v>156</v>
      </c>
      <c r="L9" s="10" t="s">
        <v>157</v>
      </c>
      <c r="M9" s="10" t="s">
        <v>158</v>
      </c>
    </row>
    <row r="10" spans="1:13" ht="57.75" customHeight="1" x14ac:dyDescent="0.35">
      <c r="A10" s="10" t="s">
        <v>101</v>
      </c>
      <c r="B10" s="10" t="s">
        <v>159</v>
      </c>
      <c r="C10" s="10" t="s">
        <v>159</v>
      </c>
      <c r="D10" s="10" t="s">
        <v>160</v>
      </c>
      <c r="E10" s="10" t="s">
        <v>161</v>
      </c>
      <c r="F10" s="10" t="s">
        <v>162</v>
      </c>
      <c r="G10" s="10" t="s">
        <v>163</v>
      </c>
      <c r="H10" s="10" t="s">
        <v>164</v>
      </c>
      <c r="I10" s="10" t="s">
        <v>165</v>
      </c>
      <c r="J10" s="10" t="s">
        <v>166</v>
      </c>
      <c r="K10" s="10" t="s">
        <v>167</v>
      </c>
      <c r="L10" s="10" t="s">
        <v>168</v>
      </c>
      <c r="M10" s="10" t="s">
        <v>169</v>
      </c>
    </row>
    <row r="11" spans="1:13" ht="57.75" customHeight="1" x14ac:dyDescent="0.35">
      <c r="A11" s="10" t="s">
        <v>101</v>
      </c>
      <c r="B11" s="10" t="s">
        <v>170</v>
      </c>
      <c r="C11" s="10" t="s">
        <v>171</v>
      </c>
      <c r="D11" s="10" t="s">
        <v>172</v>
      </c>
      <c r="E11" s="10" t="s">
        <v>173</v>
      </c>
      <c r="F11" s="10" t="s">
        <v>174</v>
      </c>
      <c r="G11" s="10" t="s">
        <v>175</v>
      </c>
      <c r="H11" s="10" t="s">
        <v>176</v>
      </c>
      <c r="I11" s="10" t="s">
        <v>177</v>
      </c>
      <c r="J11" s="10" t="s">
        <v>178</v>
      </c>
      <c r="K11" s="10" t="s">
        <v>111</v>
      </c>
      <c r="L11" s="10" t="s">
        <v>179</v>
      </c>
      <c r="M11" s="10" t="s">
        <v>180</v>
      </c>
    </row>
    <row r="12" spans="1:13" ht="57.75" customHeight="1" x14ac:dyDescent="0.35">
      <c r="A12" s="10" t="s">
        <v>101</v>
      </c>
      <c r="B12" s="10" t="s">
        <v>181</v>
      </c>
      <c r="C12" s="10" t="s">
        <v>182</v>
      </c>
      <c r="D12" s="10" t="s">
        <v>128</v>
      </c>
      <c r="E12" s="10" t="s">
        <v>183</v>
      </c>
      <c r="F12" s="10" t="s">
        <v>184</v>
      </c>
      <c r="G12" s="10" t="s">
        <v>185</v>
      </c>
      <c r="H12" s="10" t="s">
        <v>186</v>
      </c>
      <c r="I12" s="10" t="s">
        <v>187</v>
      </c>
      <c r="J12" s="10" t="s">
        <v>188</v>
      </c>
      <c r="K12" s="10" t="s">
        <v>123</v>
      </c>
      <c r="L12" s="10" t="s">
        <v>189</v>
      </c>
      <c r="M12" s="10" t="s">
        <v>190</v>
      </c>
    </row>
    <row r="13" spans="1:13" ht="57.75" customHeight="1" x14ac:dyDescent="0.35">
      <c r="A13" s="10" t="s">
        <v>101</v>
      </c>
      <c r="B13" s="10" t="s">
        <v>191</v>
      </c>
      <c r="C13" s="10" t="s">
        <v>192</v>
      </c>
      <c r="D13" s="10" t="s">
        <v>193</v>
      </c>
      <c r="E13" s="10" t="s">
        <v>183</v>
      </c>
      <c r="F13" s="10" t="s">
        <v>194</v>
      </c>
      <c r="G13" s="10" t="s">
        <v>195</v>
      </c>
      <c r="H13" s="10" t="s">
        <v>196</v>
      </c>
      <c r="I13" s="10" t="s">
        <v>197</v>
      </c>
      <c r="J13" s="10" t="s">
        <v>198</v>
      </c>
      <c r="K13" s="10" t="s">
        <v>199</v>
      </c>
      <c r="L13" s="10" t="s">
        <v>200</v>
      </c>
      <c r="M13" s="10" t="s">
        <v>201</v>
      </c>
    </row>
    <row r="14" spans="1:13" ht="57.75" customHeight="1" x14ac:dyDescent="0.35">
      <c r="A14" s="10" t="s">
        <v>101</v>
      </c>
      <c r="B14" s="10" t="s">
        <v>202</v>
      </c>
      <c r="C14" s="10" t="s">
        <v>203</v>
      </c>
      <c r="D14" s="10" t="s">
        <v>128</v>
      </c>
      <c r="E14" s="10" t="s">
        <v>161</v>
      </c>
      <c r="F14" s="10" t="s">
        <v>204</v>
      </c>
      <c r="G14" s="10" t="s">
        <v>205</v>
      </c>
      <c r="H14" s="10" t="s">
        <v>206</v>
      </c>
      <c r="I14" s="10" t="s">
        <v>207</v>
      </c>
      <c r="J14" s="10" t="s">
        <v>208</v>
      </c>
      <c r="K14" s="10" t="s">
        <v>209</v>
      </c>
      <c r="L14" s="10" t="s">
        <v>210</v>
      </c>
      <c r="M14" s="10" t="s">
        <v>211</v>
      </c>
    </row>
    <row r="15" spans="1:13" ht="57.75" customHeight="1" x14ac:dyDescent="0.35">
      <c r="A15" s="10" t="s">
        <v>101</v>
      </c>
      <c r="B15" s="10" t="s">
        <v>212</v>
      </c>
      <c r="C15" s="10" t="s">
        <v>213</v>
      </c>
      <c r="D15" s="10" t="s">
        <v>214</v>
      </c>
      <c r="E15" s="10" t="s">
        <v>215</v>
      </c>
      <c r="F15" s="10" t="s">
        <v>216</v>
      </c>
      <c r="G15" s="10" t="s">
        <v>217</v>
      </c>
      <c r="H15" s="10" t="s">
        <v>218</v>
      </c>
      <c r="I15" s="10" t="s">
        <v>219</v>
      </c>
      <c r="J15" s="10" t="s">
        <v>220</v>
      </c>
      <c r="K15" s="10" t="s">
        <v>123</v>
      </c>
      <c r="L15" s="10" t="s">
        <v>221</v>
      </c>
      <c r="M15" s="10" t="s">
        <v>222</v>
      </c>
    </row>
    <row r="16" spans="1:13" ht="57.75" customHeight="1" x14ac:dyDescent="0.35">
      <c r="A16" s="10" t="s">
        <v>101</v>
      </c>
      <c r="B16" s="10" t="s">
        <v>223</v>
      </c>
      <c r="C16" s="10" t="s">
        <v>224</v>
      </c>
      <c r="D16" s="10" t="s">
        <v>225</v>
      </c>
      <c r="E16" s="10" t="s">
        <v>226</v>
      </c>
      <c r="F16" s="10" t="s">
        <v>227</v>
      </c>
      <c r="G16" s="10" t="s">
        <v>228</v>
      </c>
      <c r="H16" s="10" t="s">
        <v>229</v>
      </c>
      <c r="I16" s="10" t="s">
        <v>230</v>
      </c>
      <c r="J16" s="10" t="s">
        <v>208</v>
      </c>
      <c r="K16" s="10" t="s">
        <v>209</v>
      </c>
      <c r="L16" s="10" t="s">
        <v>231</v>
      </c>
      <c r="M16" s="10" t="s">
        <v>232</v>
      </c>
    </row>
    <row r="17" spans="1:13" ht="57.75" customHeight="1" x14ac:dyDescent="0.35">
      <c r="A17" s="10" t="s">
        <v>101</v>
      </c>
      <c r="B17" s="10" t="s">
        <v>233</v>
      </c>
      <c r="C17" s="10" t="s">
        <v>234</v>
      </c>
      <c r="D17" s="10" t="s">
        <v>104</v>
      </c>
      <c r="E17" s="10" t="s">
        <v>235</v>
      </c>
      <c r="F17" s="10" t="s">
        <v>236</v>
      </c>
      <c r="G17" s="10" t="s">
        <v>237</v>
      </c>
      <c r="H17" s="10" t="s">
        <v>238</v>
      </c>
      <c r="I17" s="10" t="s">
        <v>239</v>
      </c>
      <c r="J17" s="10" t="s">
        <v>240</v>
      </c>
      <c r="K17" s="10" t="s">
        <v>123</v>
      </c>
      <c r="L17" s="10" t="s">
        <v>241</v>
      </c>
      <c r="M17" s="10" t="s">
        <v>242</v>
      </c>
    </row>
    <row r="18" spans="1:13" ht="57.75" customHeight="1" x14ac:dyDescent="0.35">
      <c r="A18" s="10" t="s">
        <v>243</v>
      </c>
      <c r="B18" s="10" t="s">
        <v>244</v>
      </c>
      <c r="C18" s="10" t="s">
        <v>245</v>
      </c>
      <c r="D18" s="10" t="s">
        <v>246</v>
      </c>
      <c r="E18" s="10" t="s">
        <v>247</v>
      </c>
      <c r="F18" s="10" t="s">
        <v>248</v>
      </c>
      <c r="G18" s="10" t="s">
        <v>217</v>
      </c>
      <c r="H18" s="10" t="s">
        <v>249</v>
      </c>
      <c r="I18" s="10" t="s">
        <v>250</v>
      </c>
      <c r="J18" s="10" t="s">
        <v>251</v>
      </c>
      <c r="K18" s="10" t="s">
        <v>111</v>
      </c>
      <c r="L18" s="10" t="s">
        <v>252</v>
      </c>
      <c r="M18" s="10" t="s">
        <v>253</v>
      </c>
    </row>
    <row r="19" spans="1:13" ht="57.75" customHeight="1" x14ac:dyDescent="0.35">
      <c r="A19" s="11" t="s">
        <v>254</v>
      </c>
      <c r="B19" s="11" t="s">
        <v>255</v>
      </c>
      <c r="C19" s="11" t="s">
        <v>256</v>
      </c>
      <c r="D19" s="11" t="s">
        <v>128</v>
      </c>
      <c r="E19" s="11" t="s">
        <v>257</v>
      </c>
      <c r="F19" s="11" t="s">
        <v>258</v>
      </c>
      <c r="G19" s="11" t="s">
        <v>259</v>
      </c>
      <c r="H19" s="11" t="s">
        <v>260</v>
      </c>
      <c r="I19" s="11" t="s">
        <v>261</v>
      </c>
      <c r="J19" s="11" t="s">
        <v>262</v>
      </c>
      <c r="K19" s="11" t="s">
        <v>111</v>
      </c>
      <c r="L19" s="11" t="s">
        <v>263</v>
      </c>
      <c r="M19" s="11" t="s">
        <v>264</v>
      </c>
    </row>
    <row r="20" spans="1:13" ht="57.75" customHeight="1" x14ac:dyDescent="0.35">
      <c r="A20" s="11" t="s">
        <v>254</v>
      </c>
      <c r="B20" s="11" t="s">
        <v>265</v>
      </c>
      <c r="C20" s="11" t="s">
        <v>266</v>
      </c>
      <c r="D20" s="11" t="s">
        <v>267</v>
      </c>
      <c r="E20" s="11" t="s">
        <v>268</v>
      </c>
      <c r="F20" s="11" t="s">
        <v>269</v>
      </c>
      <c r="G20" s="11" t="s">
        <v>270</v>
      </c>
      <c r="H20" s="11" t="s">
        <v>271</v>
      </c>
      <c r="I20" s="11" t="s">
        <v>272</v>
      </c>
      <c r="J20" s="11" t="s">
        <v>273</v>
      </c>
      <c r="K20" s="11" t="s">
        <v>274</v>
      </c>
      <c r="L20" s="11" t="s">
        <v>275</v>
      </c>
      <c r="M20" s="11" t="s">
        <v>276</v>
      </c>
    </row>
    <row r="21" spans="1:13" ht="57.75" customHeight="1" x14ac:dyDescent="0.35">
      <c r="A21" s="11" t="s">
        <v>254</v>
      </c>
      <c r="B21" s="11" t="s">
        <v>277</v>
      </c>
      <c r="C21" s="11" t="s">
        <v>278</v>
      </c>
      <c r="D21" s="11" t="s">
        <v>279</v>
      </c>
      <c r="E21" s="11" t="s">
        <v>280</v>
      </c>
      <c r="F21" s="11" t="s">
        <v>281</v>
      </c>
      <c r="G21" s="11" t="s">
        <v>282</v>
      </c>
      <c r="H21" s="11" t="s">
        <v>283</v>
      </c>
      <c r="I21" s="11" t="s">
        <v>284</v>
      </c>
      <c r="J21" s="11" t="s">
        <v>285</v>
      </c>
      <c r="K21" s="11" t="s">
        <v>286</v>
      </c>
      <c r="L21" s="11" t="s">
        <v>287</v>
      </c>
      <c r="M21" s="11" t="s">
        <v>288</v>
      </c>
    </row>
    <row r="22" spans="1:13" ht="57.75" customHeight="1" x14ac:dyDescent="0.35">
      <c r="A22" s="11" t="s">
        <v>254</v>
      </c>
      <c r="B22" s="11" t="s">
        <v>289</v>
      </c>
      <c r="C22" s="11" t="s">
        <v>290</v>
      </c>
      <c r="D22" s="11" t="s">
        <v>291</v>
      </c>
      <c r="E22" s="11" t="s">
        <v>292</v>
      </c>
      <c r="F22" s="11" t="s">
        <v>293</v>
      </c>
      <c r="G22" s="11" t="s">
        <v>294</v>
      </c>
      <c r="H22" s="11" t="s">
        <v>295</v>
      </c>
      <c r="I22" s="11" t="s">
        <v>296</v>
      </c>
      <c r="J22" s="11" t="s">
        <v>297</v>
      </c>
      <c r="K22" s="11" t="s">
        <v>298</v>
      </c>
      <c r="L22" s="11" t="s">
        <v>299</v>
      </c>
      <c r="M22" s="11" t="s">
        <v>300</v>
      </c>
    </row>
    <row r="23" spans="1:13" ht="57.75" customHeight="1" x14ac:dyDescent="0.35">
      <c r="A23" s="11" t="s">
        <v>254</v>
      </c>
      <c r="B23" s="11" t="s">
        <v>301</v>
      </c>
      <c r="C23" s="11" t="s">
        <v>302</v>
      </c>
      <c r="D23" s="11" t="s">
        <v>303</v>
      </c>
      <c r="E23" s="11" t="s">
        <v>304</v>
      </c>
      <c r="F23" s="11" t="s">
        <v>305</v>
      </c>
      <c r="G23" s="11" t="s">
        <v>306</v>
      </c>
      <c r="H23" s="11" t="s">
        <v>307</v>
      </c>
      <c r="I23" s="11" t="s">
        <v>308</v>
      </c>
      <c r="J23" s="11" t="s">
        <v>309</v>
      </c>
      <c r="K23" s="11" t="s">
        <v>310</v>
      </c>
      <c r="L23" s="11" t="s">
        <v>311</v>
      </c>
      <c r="M23" s="11" t="s">
        <v>300</v>
      </c>
    </row>
    <row r="24" spans="1:13" ht="57.75" customHeight="1" x14ac:dyDescent="0.35">
      <c r="A24" s="11" t="s">
        <v>254</v>
      </c>
      <c r="B24" s="11" t="s">
        <v>312</v>
      </c>
      <c r="C24" s="11" t="s">
        <v>313</v>
      </c>
      <c r="D24" s="11" t="s">
        <v>314</v>
      </c>
      <c r="E24" s="11" t="s">
        <v>315</v>
      </c>
      <c r="F24" s="11" t="s">
        <v>316</v>
      </c>
      <c r="G24" s="11" t="s">
        <v>317</v>
      </c>
      <c r="H24" s="11" t="s">
        <v>318</v>
      </c>
      <c r="I24" s="11" t="s">
        <v>319</v>
      </c>
      <c r="J24" s="11" t="s">
        <v>320</v>
      </c>
      <c r="K24" s="11" t="s">
        <v>111</v>
      </c>
      <c r="L24" s="11" t="s">
        <v>321</v>
      </c>
      <c r="M24" s="11" t="s">
        <v>201</v>
      </c>
    </row>
    <row r="25" spans="1:13" ht="57.75" customHeight="1" x14ac:dyDescent="0.35">
      <c r="A25" s="11" t="s">
        <v>254</v>
      </c>
      <c r="B25" s="11" t="s">
        <v>322</v>
      </c>
      <c r="C25" s="11" t="s">
        <v>323</v>
      </c>
      <c r="D25" s="11" t="s">
        <v>324</v>
      </c>
      <c r="E25" s="11" t="s">
        <v>325</v>
      </c>
      <c r="F25" s="11" t="s">
        <v>326</v>
      </c>
      <c r="G25" s="11" t="s">
        <v>327</v>
      </c>
      <c r="H25" s="11" t="s">
        <v>328</v>
      </c>
      <c r="I25" s="11" t="s">
        <v>329</v>
      </c>
      <c r="J25" s="11" t="s">
        <v>330</v>
      </c>
      <c r="K25" s="11" t="s">
        <v>331</v>
      </c>
      <c r="L25" s="11" t="s">
        <v>332</v>
      </c>
      <c r="M25" s="11" t="s">
        <v>333</v>
      </c>
    </row>
    <row r="26" spans="1:13" ht="57.75" customHeight="1" x14ac:dyDescent="0.35">
      <c r="A26" s="11" t="s">
        <v>254</v>
      </c>
      <c r="B26" s="11" t="s">
        <v>334</v>
      </c>
      <c r="C26" s="11" t="s">
        <v>335</v>
      </c>
      <c r="D26" s="11" t="s">
        <v>336</v>
      </c>
      <c r="E26" s="11" t="s">
        <v>337</v>
      </c>
      <c r="F26" s="11" t="s">
        <v>338</v>
      </c>
      <c r="G26" s="11" t="s">
        <v>339</v>
      </c>
      <c r="H26" s="11" t="s">
        <v>340</v>
      </c>
      <c r="I26" s="11" t="s">
        <v>341</v>
      </c>
      <c r="J26" s="11" t="s">
        <v>342</v>
      </c>
      <c r="K26" s="11" t="s">
        <v>123</v>
      </c>
      <c r="L26" s="11" t="s">
        <v>343</v>
      </c>
      <c r="M26" s="11" t="s">
        <v>276</v>
      </c>
    </row>
    <row r="27" spans="1:13" ht="57.75" customHeight="1" x14ac:dyDescent="0.35">
      <c r="A27" s="11" t="s">
        <v>254</v>
      </c>
      <c r="B27" s="11" t="s">
        <v>344</v>
      </c>
      <c r="C27" s="11" t="s">
        <v>344</v>
      </c>
      <c r="D27" s="11" t="s">
        <v>345</v>
      </c>
      <c r="E27" s="11" t="s">
        <v>346</v>
      </c>
      <c r="F27" s="11" t="s">
        <v>347</v>
      </c>
      <c r="G27" s="11" t="s">
        <v>348</v>
      </c>
      <c r="H27" s="11" t="s">
        <v>349</v>
      </c>
      <c r="I27" s="11" t="s">
        <v>350</v>
      </c>
      <c r="J27" s="11" t="s">
        <v>351</v>
      </c>
      <c r="K27" s="11" t="s">
        <v>123</v>
      </c>
      <c r="L27" s="11" t="s">
        <v>352</v>
      </c>
      <c r="M27" s="11" t="s">
        <v>353</v>
      </c>
    </row>
    <row r="28" spans="1:13" ht="57.75" customHeight="1" x14ac:dyDescent="0.35">
      <c r="A28" s="11" t="s">
        <v>254</v>
      </c>
      <c r="B28" s="11" t="s">
        <v>354</v>
      </c>
      <c r="C28" s="11" t="s">
        <v>234</v>
      </c>
      <c r="D28" s="11" t="s">
        <v>355</v>
      </c>
      <c r="E28" s="11" t="s">
        <v>356</v>
      </c>
      <c r="F28" s="11" t="s">
        <v>357</v>
      </c>
      <c r="G28" s="11" t="s">
        <v>358</v>
      </c>
      <c r="H28" s="11" t="s">
        <v>359</v>
      </c>
      <c r="I28" s="11" t="s">
        <v>360</v>
      </c>
      <c r="J28" s="11" t="s">
        <v>361</v>
      </c>
      <c r="K28" s="11" t="s">
        <v>362</v>
      </c>
      <c r="L28" s="11" t="s">
        <v>363</v>
      </c>
      <c r="M28" s="11" t="s">
        <v>364</v>
      </c>
    </row>
    <row r="29" spans="1:13" ht="57.75" customHeight="1" x14ac:dyDescent="0.35">
      <c r="A29" s="11" t="s">
        <v>254</v>
      </c>
      <c r="B29" s="11" t="s">
        <v>365</v>
      </c>
      <c r="C29" s="11" t="s">
        <v>366</v>
      </c>
      <c r="D29" s="11" t="s">
        <v>246</v>
      </c>
      <c r="E29" s="11" t="s">
        <v>367</v>
      </c>
      <c r="F29" s="11" t="s">
        <v>368</v>
      </c>
      <c r="G29" s="11" t="s">
        <v>369</v>
      </c>
      <c r="H29" s="11" t="s">
        <v>370</v>
      </c>
      <c r="I29" s="11" t="s">
        <v>371</v>
      </c>
      <c r="J29" s="11" t="s">
        <v>342</v>
      </c>
      <c r="K29" s="11" t="s">
        <v>372</v>
      </c>
      <c r="L29" s="11" t="s">
        <v>373</v>
      </c>
      <c r="M29" s="11" t="s">
        <v>374</v>
      </c>
    </row>
    <row r="30" spans="1:13" ht="57.75" customHeight="1" x14ac:dyDescent="0.35">
      <c r="A30" s="12" t="s">
        <v>375</v>
      </c>
      <c r="B30" s="12" t="s">
        <v>376</v>
      </c>
      <c r="C30" s="12" t="s">
        <v>376</v>
      </c>
      <c r="D30" s="12" t="s">
        <v>377</v>
      </c>
      <c r="E30" s="12" t="s">
        <v>378</v>
      </c>
      <c r="F30" s="12" t="s">
        <v>379</v>
      </c>
      <c r="G30" s="12" t="s">
        <v>380</v>
      </c>
      <c r="H30" s="12" t="s">
        <v>381</v>
      </c>
      <c r="I30" s="12" t="s">
        <v>382</v>
      </c>
      <c r="J30" s="12" t="s">
        <v>383</v>
      </c>
      <c r="K30" s="12" t="s">
        <v>384</v>
      </c>
      <c r="L30" s="12" t="s">
        <v>377</v>
      </c>
      <c r="M30" s="12" t="s">
        <v>385</v>
      </c>
    </row>
    <row r="31" spans="1:13" ht="57.75" customHeight="1" x14ac:dyDescent="0.35">
      <c r="A31" s="12" t="s">
        <v>375</v>
      </c>
      <c r="B31" s="12" t="s">
        <v>386</v>
      </c>
      <c r="C31" s="12" t="s">
        <v>386</v>
      </c>
      <c r="D31" s="12" t="s">
        <v>377</v>
      </c>
      <c r="E31" s="12" t="s">
        <v>387</v>
      </c>
      <c r="F31" s="12" t="s">
        <v>388</v>
      </c>
      <c r="G31" s="12" t="s">
        <v>389</v>
      </c>
      <c r="H31" s="12" t="s">
        <v>390</v>
      </c>
      <c r="I31" s="12" t="s">
        <v>391</v>
      </c>
      <c r="J31" s="12" t="s">
        <v>392</v>
      </c>
      <c r="K31" s="12" t="s">
        <v>393</v>
      </c>
      <c r="L31" s="12" t="s">
        <v>377</v>
      </c>
      <c r="M31" s="12" t="s">
        <v>394</v>
      </c>
    </row>
    <row r="32" spans="1:13" ht="57.75" customHeight="1" x14ac:dyDescent="0.35">
      <c r="A32" s="12" t="s">
        <v>375</v>
      </c>
      <c r="B32" s="12" t="s">
        <v>395</v>
      </c>
      <c r="C32" s="12" t="s">
        <v>395</v>
      </c>
      <c r="D32" s="12" t="s">
        <v>377</v>
      </c>
      <c r="E32" s="12" t="s">
        <v>387</v>
      </c>
      <c r="F32" s="12" t="s">
        <v>396</v>
      </c>
      <c r="G32" s="12" t="s">
        <v>397</v>
      </c>
      <c r="H32" s="12" t="s">
        <v>398</v>
      </c>
      <c r="I32" s="12" t="s">
        <v>399</v>
      </c>
      <c r="J32" s="12" t="s">
        <v>208</v>
      </c>
      <c r="K32" s="12" t="s">
        <v>209</v>
      </c>
      <c r="L32" s="12" t="s">
        <v>377</v>
      </c>
      <c r="M32" s="12" t="s">
        <v>400</v>
      </c>
    </row>
    <row r="33" spans="1:13" ht="57.75" customHeight="1" x14ac:dyDescent="0.35">
      <c r="A33" s="12" t="s">
        <v>375</v>
      </c>
      <c r="B33" s="12" t="s">
        <v>401</v>
      </c>
      <c r="C33" s="12" t="s">
        <v>159</v>
      </c>
      <c r="D33" s="12" t="s">
        <v>128</v>
      </c>
      <c r="E33" s="12" t="s">
        <v>402</v>
      </c>
      <c r="F33" s="12" t="s">
        <v>403</v>
      </c>
      <c r="G33" s="12" t="s">
        <v>358</v>
      </c>
      <c r="H33" s="12" t="s">
        <v>404</v>
      </c>
      <c r="I33" s="12" t="s">
        <v>405</v>
      </c>
      <c r="J33" s="12" t="s">
        <v>406</v>
      </c>
      <c r="K33" s="12" t="s">
        <v>407</v>
      </c>
      <c r="L33" s="12" t="s">
        <v>408</v>
      </c>
      <c r="M33" s="12" t="s">
        <v>409</v>
      </c>
    </row>
    <row r="34" spans="1:13" ht="57.75" customHeight="1" x14ac:dyDescent="0.35">
      <c r="A34" s="12" t="s">
        <v>375</v>
      </c>
      <c r="B34" s="12" t="s">
        <v>410</v>
      </c>
      <c r="C34" s="12" t="s">
        <v>245</v>
      </c>
      <c r="D34" s="12" t="s">
        <v>246</v>
      </c>
      <c r="E34" s="12" t="s">
        <v>411</v>
      </c>
      <c r="F34" s="12" t="s">
        <v>412</v>
      </c>
      <c r="G34" s="12" t="s">
        <v>413</v>
      </c>
      <c r="H34" s="12" t="s">
        <v>414</v>
      </c>
      <c r="I34" s="12" t="s">
        <v>415</v>
      </c>
      <c r="J34" s="12" t="s">
        <v>245</v>
      </c>
      <c r="K34" s="12" t="s">
        <v>245</v>
      </c>
      <c r="L34" s="12" t="s">
        <v>245</v>
      </c>
      <c r="M34" s="12" t="s">
        <v>394</v>
      </c>
    </row>
    <row r="35" spans="1:13" ht="57.75" customHeight="1" x14ac:dyDescent="0.35">
      <c r="A35" s="12" t="s">
        <v>375</v>
      </c>
      <c r="B35" s="12" t="s">
        <v>416</v>
      </c>
      <c r="C35" s="12" t="s">
        <v>245</v>
      </c>
      <c r="D35" s="12" t="s">
        <v>246</v>
      </c>
      <c r="E35" s="12" t="s">
        <v>387</v>
      </c>
      <c r="F35" s="12" t="s">
        <v>417</v>
      </c>
      <c r="G35" s="12" t="s">
        <v>217</v>
      </c>
      <c r="H35" s="12" t="s">
        <v>249</v>
      </c>
      <c r="I35" s="12" t="s">
        <v>418</v>
      </c>
      <c r="J35" s="12" t="s">
        <v>419</v>
      </c>
      <c r="K35" s="12" t="s">
        <v>384</v>
      </c>
      <c r="L35" s="12" t="s">
        <v>231</v>
      </c>
      <c r="M35" s="12" t="s">
        <v>420</v>
      </c>
    </row>
    <row r="36" spans="1:13" ht="57.75" customHeight="1" x14ac:dyDescent="0.35">
      <c r="A36" s="12" t="s">
        <v>375</v>
      </c>
      <c r="B36" s="12" t="s">
        <v>421</v>
      </c>
      <c r="C36" s="12" t="s">
        <v>422</v>
      </c>
      <c r="D36" s="12" t="s">
        <v>246</v>
      </c>
      <c r="E36" s="12" t="s">
        <v>423</v>
      </c>
      <c r="F36" s="12" t="s">
        <v>424</v>
      </c>
      <c r="G36" s="12" t="s">
        <v>425</v>
      </c>
      <c r="H36" s="12" t="s">
        <v>229</v>
      </c>
      <c r="I36" s="12" t="s">
        <v>426</v>
      </c>
      <c r="J36" s="12" t="s">
        <v>427</v>
      </c>
      <c r="K36" s="12" t="s">
        <v>428</v>
      </c>
      <c r="L36" s="12" t="s">
        <v>231</v>
      </c>
      <c r="M36" s="12" t="s">
        <v>429</v>
      </c>
    </row>
  </sheetData>
  <autoFilter ref="A4:M3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E26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8" customWidth="1"/>
    <col min="3" max="3" width="42" customWidth="1"/>
    <col min="4" max="4" width="55" customWidth="1"/>
    <col min="5" max="5" width="34" customWidth="1"/>
  </cols>
  <sheetData>
    <row r="1" spans="1:5" ht="21.75" customHeight="1" x14ac:dyDescent="0.4">
      <c r="A1" s="7" t="s">
        <v>430</v>
      </c>
    </row>
    <row r="2" spans="1:5" x14ac:dyDescent="0.35">
      <c r="A2" s="8" t="s">
        <v>431</v>
      </c>
    </row>
    <row r="4" spans="1:5" ht="33.75" customHeight="1" x14ac:dyDescent="0.35">
      <c r="A4" s="9" t="s">
        <v>432</v>
      </c>
      <c r="B4" s="9" t="s">
        <v>433</v>
      </c>
      <c r="C4" s="9" t="s">
        <v>434</v>
      </c>
      <c r="D4" s="9" t="s">
        <v>435</v>
      </c>
      <c r="E4" s="9" t="s">
        <v>436</v>
      </c>
    </row>
    <row r="5" spans="1:5" ht="39.75" customHeight="1" x14ac:dyDescent="0.35">
      <c r="A5" s="13">
        <v>1</v>
      </c>
      <c r="B5" s="14" t="s">
        <v>229</v>
      </c>
      <c r="C5" s="15" t="s">
        <v>437</v>
      </c>
      <c r="D5" s="15" t="s">
        <v>438</v>
      </c>
      <c r="E5" s="15" t="s">
        <v>439</v>
      </c>
    </row>
    <row r="6" spans="1:5" ht="39.75" customHeight="1" x14ac:dyDescent="0.35">
      <c r="A6" s="13">
        <v>2</v>
      </c>
      <c r="B6" s="14" t="s">
        <v>153</v>
      </c>
      <c r="C6" s="15" t="s">
        <v>440</v>
      </c>
      <c r="D6" s="15" t="s">
        <v>441</v>
      </c>
      <c r="E6" s="15" t="s">
        <v>442</v>
      </c>
    </row>
    <row r="7" spans="1:5" ht="39.75" customHeight="1" x14ac:dyDescent="0.35">
      <c r="A7" s="13">
        <v>3</v>
      </c>
      <c r="B7" s="14" t="s">
        <v>186</v>
      </c>
      <c r="C7" s="15" t="s">
        <v>443</v>
      </c>
      <c r="D7" s="15" t="s">
        <v>444</v>
      </c>
      <c r="E7" s="15" t="s">
        <v>445</v>
      </c>
    </row>
    <row r="8" spans="1:5" ht="39.75" customHeight="1" x14ac:dyDescent="0.35">
      <c r="A8" s="13">
        <v>4</v>
      </c>
      <c r="B8" s="14" t="s">
        <v>398</v>
      </c>
      <c r="C8" s="15" t="s">
        <v>446</v>
      </c>
      <c r="D8" s="15" t="s">
        <v>447</v>
      </c>
      <c r="E8" s="15" t="s">
        <v>448</v>
      </c>
    </row>
    <row r="9" spans="1:5" ht="39.75" customHeight="1" x14ac:dyDescent="0.35">
      <c r="A9" s="13">
        <v>5</v>
      </c>
      <c r="B9" s="14" t="s">
        <v>271</v>
      </c>
      <c r="C9" s="15" t="s">
        <v>449</v>
      </c>
      <c r="D9" s="15" t="s">
        <v>450</v>
      </c>
      <c r="E9" s="15" t="s">
        <v>451</v>
      </c>
    </row>
    <row r="10" spans="1:5" ht="39.75" customHeight="1" x14ac:dyDescent="0.35">
      <c r="A10" s="13">
        <v>6</v>
      </c>
      <c r="B10" s="14" t="s">
        <v>452</v>
      </c>
      <c r="C10" s="15" t="s">
        <v>453</v>
      </c>
      <c r="D10" s="15" t="s">
        <v>454</v>
      </c>
      <c r="E10" s="15" t="s">
        <v>455</v>
      </c>
    </row>
    <row r="11" spans="1:5" ht="39.75" customHeight="1" x14ac:dyDescent="0.35">
      <c r="A11" s="13">
        <v>7</v>
      </c>
      <c r="B11" s="14" t="s">
        <v>414</v>
      </c>
      <c r="C11" s="15" t="s">
        <v>456</v>
      </c>
      <c r="D11" s="15" t="s">
        <v>457</v>
      </c>
      <c r="E11" s="15" t="s">
        <v>458</v>
      </c>
    </row>
    <row r="12" spans="1:5" ht="39.75" customHeight="1" x14ac:dyDescent="0.35">
      <c r="A12" s="13">
        <v>8</v>
      </c>
      <c r="B12" s="14" t="s">
        <v>349</v>
      </c>
      <c r="C12" s="15" t="s">
        <v>459</v>
      </c>
      <c r="D12" s="15" t="s">
        <v>460</v>
      </c>
      <c r="E12" s="15" t="s">
        <v>461</v>
      </c>
    </row>
    <row r="13" spans="1:5" ht="39.75" customHeight="1" x14ac:dyDescent="0.35">
      <c r="A13" s="13">
        <v>9</v>
      </c>
      <c r="B13" s="14" t="s">
        <v>238</v>
      </c>
      <c r="C13" s="15" t="s">
        <v>462</v>
      </c>
      <c r="D13" s="15" t="s">
        <v>463</v>
      </c>
      <c r="E13" s="15" t="s">
        <v>464</v>
      </c>
    </row>
    <row r="16" spans="1:5" x14ac:dyDescent="0.35">
      <c r="B16" s="16" t="s">
        <v>465</v>
      </c>
    </row>
    <row r="17" spans="2:2" x14ac:dyDescent="0.35">
      <c r="B17" s="17" t="s">
        <v>466</v>
      </c>
    </row>
    <row r="18" spans="2:2" x14ac:dyDescent="0.35">
      <c r="B18" s="17" t="s">
        <v>467</v>
      </c>
    </row>
    <row r="19" spans="2:2" x14ac:dyDescent="0.35">
      <c r="B19" s="17" t="s">
        <v>468</v>
      </c>
    </row>
    <row r="20" spans="2:2" x14ac:dyDescent="0.35">
      <c r="B20" s="17"/>
    </row>
    <row r="21" spans="2:2" x14ac:dyDescent="0.35">
      <c r="B21" s="17" t="s">
        <v>469</v>
      </c>
    </row>
    <row r="22" spans="2:2" x14ac:dyDescent="0.35">
      <c r="B22" s="17" t="s">
        <v>470</v>
      </c>
    </row>
    <row r="23" spans="2:2" x14ac:dyDescent="0.35">
      <c r="B23" s="17" t="s">
        <v>471</v>
      </c>
    </row>
    <row r="24" spans="2:2" x14ac:dyDescent="0.35">
      <c r="B24" s="17" t="s">
        <v>472</v>
      </c>
    </row>
    <row r="25" spans="2:2" x14ac:dyDescent="0.35">
      <c r="B25" s="17" t="s">
        <v>473</v>
      </c>
    </row>
    <row r="26" spans="2:2" x14ac:dyDescent="0.35">
      <c r="B26" s="17" t="s">
        <v>474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E33"/>
  <sheetViews>
    <sheetView showGridLines="0" zoomScaleNormal="100" workbookViewId="0"/>
  </sheetViews>
  <sheetFormatPr defaultColWidth="8.6328125" defaultRowHeight="14.5" x14ac:dyDescent="0.35"/>
  <cols>
    <col min="1" max="1" width="20" customWidth="1"/>
    <col min="2" max="2" width="34" customWidth="1"/>
    <col min="3" max="3" width="60" customWidth="1"/>
    <col min="4" max="4" width="28" customWidth="1"/>
    <col min="5" max="5" width="26" customWidth="1"/>
  </cols>
  <sheetData>
    <row r="1" spans="1:5" ht="21.75" customHeight="1" x14ac:dyDescent="0.4">
      <c r="A1" s="7" t="s">
        <v>475</v>
      </c>
    </row>
    <row r="2" spans="1:5" x14ac:dyDescent="0.35">
      <c r="A2" s="8" t="s">
        <v>476</v>
      </c>
    </row>
    <row r="4" spans="1:5" ht="33.75" customHeight="1" x14ac:dyDescent="0.35">
      <c r="A4" s="9" t="s">
        <v>89</v>
      </c>
      <c r="B4" s="9" t="s">
        <v>477</v>
      </c>
      <c r="C4" s="9" t="s">
        <v>478</v>
      </c>
      <c r="D4" s="9" t="s">
        <v>479</v>
      </c>
      <c r="E4" s="9" t="s">
        <v>480</v>
      </c>
    </row>
    <row r="5" spans="1:5" ht="42" customHeight="1" x14ac:dyDescent="0.35">
      <c r="A5" s="18" t="s">
        <v>102</v>
      </c>
      <c r="B5" s="15" t="s">
        <v>481</v>
      </c>
      <c r="C5" s="19" t="s">
        <v>482</v>
      </c>
      <c r="D5" s="15" t="s">
        <v>483</v>
      </c>
      <c r="E5" s="15" t="s">
        <v>484</v>
      </c>
    </row>
    <row r="6" spans="1:5" ht="42" customHeight="1" x14ac:dyDescent="0.35">
      <c r="A6" s="18" t="s">
        <v>114</v>
      </c>
      <c r="B6" s="15" t="s">
        <v>485</v>
      </c>
      <c r="C6" s="19" t="s">
        <v>486</v>
      </c>
      <c r="D6" s="15" t="s">
        <v>487</v>
      </c>
      <c r="E6" s="15" t="s">
        <v>488</v>
      </c>
    </row>
    <row r="7" spans="1:5" ht="42" customHeight="1" x14ac:dyDescent="0.35">
      <c r="A7" s="18" t="s">
        <v>126</v>
      </c>
      <c r="B7" s="15" t="s">
        <v>489</v>
      </c>
      <c r="C7" s="19" t="s">
        <v>490</v>
      </c>
      <c r="D7" s="15" t="s">
        <v>491</v>
      </c>
      <c r="E7" s="15" t="s">
        <v>492</v>
      </c>
    </row>
    <row r="8" spans="1:5" ht="42" customHeight="1" x14ac:dyDescent="0.35">
      <c r="A8" s="18" t="s">
        <v>137</v>
      </c>
      <c r="B8" s="15" t="s">
        <v>493</v>
      </c>
      <c r="C8" s="19" t="s">
        <v>494</v>
      </c>
      <c r="D8" s="15" t="s">
        <v>495</v>
      </c>
      <c r="E8" s="15" t="s">
        <v>496</v>
      </c>
    </row>
    <row r="9" spans="1:5" ht="42" customHeight="1" x14ac:dyDescent="0.35">
      <c r="A9" s="18" t="s">
        <v>148</v>
      </c>
      <c r="B9" s="15" t="s">
        <v>497</v>
      </c>
      <c r="C9" s="19" t="s">
        <v>498</v>
      </c>
      <c r="D9" s="15" t="s">
        <v>499</v>
      </c>
      <c r="E9" s="15" t="s">
        <v>500</v>
      </c>
    </row>
    <row r="10" spans="1:5" ht="42" customHeight="1" x14ac:dyDescent="0.35">
      <c r="A10" s="18" t="s">
        <v>159</v>
      </c>
      <c r="B10" s="15" t="s">
        <v>501</v>
      </c>
      <c r="C10" s="19" t="s">
        <v>502</v>
      </c>
      <c r="D10" s="15" t="s">
        <v>503</v>
      </c>
      <c r="E10" s="15" t="s">
        <v>504</v>
      </c>
    </row>
    <row r="11" spans="1:5" ht="42" customHeight="1" x14ac:dyDescent="0.35">
      <c r="A11" s="18" t="s">
        <v>170</v>
      </c>
      <c r="B11" s="15" t="s">
        <v>505</v>
      </c>
      <c r="C11" s="19" t="s">
        <v>506</v>
      </c>
      <c r="D11" s="15" t="s">
        <v>507</v>
      </c>
      <c r="E11" s="15" t="s">
        <v>508</v>
      </c>
    </row>
    <row r="12" spans="1:5" ht="42" customHeight="1" x14ac:dyDescent="0.35">
      <c r="A12" s="18" t="s">
        <v>181</v>
      </c>
      <c r="B12" s="15" t="s">
        <v>509</v>
      </c>
      <c r="C12" s="19" t="s">
        <v>510</v>
      </c>
      <c r="D12" s="15" t="s">
        <v>511</v>
      </c>
      <c r="E12" s="15" t="s">
        <v>512</v>
      </c>
    </row>
    <row r="13" spans="1:5" ht="42" customHeight="1" x14ac:dyDescent="0.35">
      <c r="A13" s="18" t="s">
        <v>334</v>
      </c>
      <c r="B13" s="15" t="s">
        <v>513</v>
      </c>
      <c r="C13" s="19" t="s">
        <v>514</v>
      </c>
      <c r="D13" s="15" t="s">
        <v>515</v>
      </c>
      <c r="E13" s="15" t="s">
        <v>516</v>
      </c>
    </row>
    <row r="14" spans="1:5" ht="42" customHeight="1" x14ac:dyDescent="0.35">
      <c r="A14" s="18" t="s">
        <v>344</v>
      </c>
      <c r="B14" s="15" t="s">
        <v>517</v>
      </c>
      <c r="C14" s="19" t="s">
        <v>518</v>
      </c>
      <c r="D14" s="15" t="s">
        <v>519</v>
      </c>
      <c r="E14" s="15" t="s">
        <v>520</v>
      </c>
    </row>
    <row r="15" spans="1:5" ht="42" customHeight="1" x14ac:dyDescent="0.35">
      <c r="A15" s="18" t="s">
        <v>521</v>
      </c>
      <c r="B15" s="15" t="s">
        <v>522</v>
      </c>
      <c r="C15" s="19" t="s">
        <v>523</v>
      </c>
      <c r="D15" s="15" t="s">
        <v>524</v>
      </c>
      <c r="E15" s="15" t="s">
        <v>525</v>
      </c>
    </row>
    <row r="16" spans="1:5" ht="42" customHeight="1" x14ac:dyDescent="0.35">
      <c r="A16" s="18" t="s">
        <v>526</v>
      </c>
      <c r="B16" s="15" t="s">
        <v>527</v>
      </c>
      <c r="C16" s="19" t="s">
        <v>528</v>
      </c>
      <c r="D16" s="15" t="s">
        <v>529</v>
      </c>
      <c r="E16" s="15" t="s">
        <v>530</v>
      </c>
    </row>
    <row r="17" spans="1:5" ht="42" customHeight="1" x14ac:dyDescent="0.35">
      <c r="A17" s="18" t="s">
        <v>301</v>
      </c>
      <c r="B17" s="15" t="s">
        <v>531</v>
      </c>
      <c r="C17" s="19" t="s">
        <v>532</v>
      </c>
      <c r="D17" s="15" t="s">
        <v>533</v>
      </c>
      <c r="E17" s="15" t="s">
        <v>534</v>
      </c>
    </row>
    <row r="18" spans="1:5" ht="42" customHeight="1" x14ac:dyDescent="0.35">
      <c r="A18" s="18" t="s">
        <v>535</v>
      </c>
      <c r="B18" s="15" t="s">
        <v>536</v>
      </c>
      <c r="C18" s="19" t="s">
        <v>537</v>
      </c>
      <c r="D18" s="15" t="s">
        <v>538</v>
      </c>
      <c r="E18" s="15" t="s">
        <v>539</v>
      </c>
    </row>
    <row r="21" spans="1:5" x14ac:dyDescent="0.35">
      <c r="A21" s="16" t="s">
        <v>540</v>
      </c>
    </row>
    <row r="22" spans="1:5" x14ac:dyDescent="0.35">
      <c r="A22" s="17"/>
    </row>
    <row r="23" spans="1:5" x14ac:dyDescent="0.35">
      <c r="A23" s="20" t="s">
        <v>541</v>
      </c>
    </row>
    <row r="24" spans="1:5" x14ac:dyDescent="0.35">
      <c r="A24" s="17" t="s">
        <v>542</v>
      </c>
    </row>
    <row r="25" spans="1:5" x14ac:dyDescent="0.35">
      <c r="A25" s="17" t="s">
        <v>543</v>
      </c>
    </row>
    <row r="26" spans="1:5" x14ac:dyDescent="0.35">
      <c r="A26" s="17"/>
    </row>
    <row r="27" spans="1:5" x14ac:dyDescent="0.35">
      <c r="A27" s="20" t="s">
        <v>544</v>
      </c>
    </row>
    <row r="28" spans="1:5" x14ac:dyDescent="0.35">
      <c r="A28" s="17" t="s">
        <v>545</v>
      </c>
    </row>
    <row r="29" spans="1:5" x14ac:dyDescent="0.35">
      <c r="A29" s="17" t="s">
        <v>546</v>
      </c>
    </row>
    <row r="30" spans="1:5" x14ac:dyDescent="0.35">
      <c r="A30" s="17" t="s">
        <v>547</v>
      </c>
    </row>
    <row r="31" spans="1:5" x14ac:dyDescent="0.35">
      <c r="A31" s="17"/>
    </row>
    <row r="32" spans="1:5" x14ac:dyDescent="0.35">
      <c r="A32" s="20" t="s">
        <v>548</v>
      </c>
    </row>
    <row r="33" spans="1:1" x14ac:dyDescent="0.35">
      <c r="A33" s="17" t="s">
        <v>549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R386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30" customWidth="1"/>
    <col min="3" max="3" width="52" customWidth="1"/>
    <col min="4" max="12" width="7" customWidth="1"/>
    <col min="13" max="16" width="9" customWidth="1"/>
    <col min="17" max="17" width="10" customWidth="1"/>
    <col min="18" max="18" width="78" customWidth="1"/>
  </cols>
  <sheetData>
    <row r="1" spans="1:18" ht="21.75" customHeight="1" x14ac:dyDescent="0.4">
      <c r="A1" s="7" t="s">
        <v>550</v>
      </c>
    </row>
    <row r="2" spans="1:18" x14ac:dyDescent="0.35">
      <c r="A2" s="8" t="s">
        <v>551</v>
      </c>
    </row>
    <row r="4" spans="1:18" ht="39.75" customHeight="1" x14ac:dyDescent="0.35">
      <c r="A4" s="9" t="s">
        <v>432</v>
      </c>
      <c r="B4" s="9" t="s">
        <v>552</v>
      </c>
      <c r="C4" s="9" t="s">
        <v>553</v>
      </c>
      <c r="D4" s="9" t="s">
        <v>554</v>
      </c>
      <c r="E4" s="9" t="s">
        <v>555</v>
      </c>
      <c r="F4" s="9" t="s">
        <v>556</v>
      </c>
      <c r="G4" s="9" t="s">
        <v>557</v>
      </c>
      <c r="H4" s="9" t="s">
        <v>558</v>
      </c>
      <c r="I4" s="9" t="s">
        <v>559</v>
      </c>
      <c r="J4" s="9" t="s">
        <v>560</v>
      </c>
      <c r="K4" s="9" t="s">
        <v>561</v>
      </c>
      <c r="L4" s="9" t="s">
        <v>562</v>
      </c>
      <c r="M4" s="9" t="s">
        <v>563</v>
      </c>
      <c r="N4" s="9" t="s">
        <v>564</v>
      </c>
      <c r="O4" s="9" t="s">
        <v>565</v>
      </c>
      <c r="P4" s="9" t="s">
        <v>566</v>
      </c>
      <c r="Q4" s="9" t="s">
        <v>567</v>
      </c>
      <c r="R4" s="9" t="s">
        <v>568</v>
      </c>
    </row>
    <row r="5" spans="1:18" ht="25.5" customHeight="1" x14ac:dyDescent="0.35">
      <c r="A5" s="21">
        <v>1</v>
      </c>
      <c r="B5" s="22" t="s">
        <v>569</v>
      </c>
      <c r="C5" s="14" t="s">
        <v>570</v>
      </c>
      <c r="D5" s="23" t="s">
        <v>31</v>
      </c>
      <c r="E5" s="23" t="s">
        <v>31</v>
      </c>
      <c r="F5" s="23" t="s">
        <v>31</v>
      </c>
      <c r="G5" s="23" t="s">
        <v>31</v>
      </c>
      <c r="H5" s="23" t="s">
        <v>33</v>
      </c>
      <c r="I5" s="23" t="s">
        <v>31</v>
      </c>
      <c r="J5" s="23" t="s">
        <v>31</v>
      </c>
      <c r="K5" s="23" t="s">
        <v>31</v>
      </c>
      <c r="L5" s="23" t="s">
        <v>31</v>
      </c>
      <c r="M5" s="24">
        <f t="shared" ref="M5:M68" si="0">SUMPRODUCT(--ISNUMBER(SEARCH("✓",D5:L5)))</f>
        <v>8</v>
      </c>
      <c r="N5" s="24">
        <f t="shared" ref="N5:N68" si="1">SUMPRODUCT(--ISNUMBER(SEARCH("◐",D5:L5)))</f>
        <v>1</v>
      </c>
      <c r="O5" s="24">
        <f t="shared" ref="O5:O68" si="2">SUMPRODUCT(--ISNUMBER(SEARCH("—",D5:L5)))</f>
        <v>0</v>
      </c>
      <c r="P5" s="24">
        <f t="shared" ref="P5:P68" si="3">9-M5-N5-O5</f>
        <v>0</v>
      </c>
      <c r="Q5" s="25">
        <f t="shared" ref="Q5:Q68" si="4">(M5+0.5*N5)/9</f>
        <v>0.94444444444444442</v>
      </c>
      <c r="R5" s="26" t="s">
        <v>571</v>
      </c>
    </row>
    <row r="6" spans="1:18" ht="25.5" customHeight="1" x14ac:dyDescent="0.35">
      <c r="A6" s="21">
        <v>2</v>
      </c>
      <c r="B6" s="22" t="s">
        <v>569</v>
      </c>
      <c r="C6" s="14" t="s">
        <v>572</v>
      </c>
      <c r="D6" s="23" t="s">
        <v>31</v>
      </c>
      <c r="E6" s="23" t="s">
        <v>31</v>
      </c>
      <c r="F6" s="23" t="s">
        <v>31</v>
      </c>
      <c r="G6" s="23" t="s">
        <v>33</v>
      </c>
      <c r="H6" s="23" t="s">
        <v>35</v>
      </c>
      <c r="I6" s="23" t="s">
        <v>31</v>
      </c>
      <c r="J6" s="23" t="s">
        <v>31</v>
      </c>
      <c r="K6" s="23" t="s">
        <v>33</v>
      </c>
      <c r="L6" s="23" t="s">
        <v>37</v>
      </c>
      <c r="M6" s="24">
        <f t="shared" si="0"/>
        <v>5</v>
      </c>
      <c r="N6" s="24">
        <f t="shared" si="1"/>
        <v>2</v>
      </c>
      <c r="O6" s="24">
        <f t="shared" si="2"/>
        <v>1</v>
      </c>
      <c r="P6" s="24">
        <f t="shared" si="3"/>
        <v>1</v>
      </c>
      <c r="Q6" s="25">
        <f t="shared" si="4"/>
        <v>0.66666666666666663</v>
      </c>
      <c r="R6" s="26" t="s">
        <v>573</v>
      </c>
    </row>
    <row r="7" spans="1:18" ht="25.5" customHeight="1" x14ac:dyDescent="0.35">
      <c r="A7" s="21">
        <v>3</v>
      </c>
      <c r="B7" s="22" t="s">
        <v>569</v>
      </c>
      <c r="C7" s="14" t="s">
        <v>574</v>
      </c>
      <c r="D7" s="23" t="s">
        <v>31</v>
      </c>
      <c r="E7" s="23" t="s">
        <v>33</v>
      </c>
      <c r="F7" s="23" t="s">
        <v>35</v>
      </c>
      <c r="G7" s="23" t="s">
        <v>31</v>
      </c>
      <c r="H7" s="23" t="s">
        <v>35</v>
      </c>
      <c r="I7" s="23" t="s">
        <v>31</v>
      </c>
      <c r="J7" s="23" t="s">
        <v>31</v>
      </c>
      <c r="K7" s="23" t="s">
        <v>35</v>
      </c>
      <c r="L7" s="23" t="s">
        <v>35</v>
      </c>
      <c r="M7" s="24">
        <f t="shared" si="0"/>
        <v>4</v>
      </c>
      <c r="N7" s="24">
        <f t="shared" si="1"/>
        <v>1</v>
      </c>
      <c r="O7" s="24">
        <f t="shared" si="2"/>
        <v>4</v>
      </c>
      <c r="P7" s="24">
        <f t="shared" si="3"/>
        <v>0</v>
      </c>
      <c r="Q7" s="25">
        <f t="shared" si="4"/>
        <v>0.5</v>
      </c>
      <c r="R7" s="26" t="s">
        <v>575</v>
      </c>
    </row>
    <row r="8" spans="1:18" ht="25.5" customHeight="1" x14ac:dyDescent="0.35">
      <c r="A8" s="21">
        <v>4</v>
      </c>
      <c r="B8" s="22" t="s">
        <v>569</v>
      </c>
      <c r="C8" s="14" t="s">
        <v>576</v>
      </c>
      <c r="D8" s="23" t="s">
        <v>31</v>
      </c>
      <c r="E8" s="23" t="s">
        <v>31</v>
      </c>
      <c r="F8" s="23" t="s">
        <v>31</v>
      </c>
      <c r="G8" s="23" t="s">
        <v>33</v>
      </c>
      <c r="H8" s="23" t="s">
        <v>35</v>
      </c>
      <c r="I8" s="23" t="s">
        <v>31</v>
      </c>
      <c r="J8" s="23" t="s">
        <v>33</v>
      </c>
      <c r="K8" s="23" t="s">
        <v>35</v>
      </c>
      <c r="L8" s="23" t="s">
        <v>35</v>
      </c>
      <c r="M8" s="24">
        <f t="shared" si="0"/>
        <v>4</v>
      </c>
      <c r="N8" s="24">
        <f t="shared" si="1"/>
        <v>2</v>
      </c>
      <c r="O8" s="24">
        <f t="shared" si="2"/>
        <v>3</v>
      </c>
      <c r="P8" s="24">
        <f t="shared" si="3"/>
        <v>0</v>
      </c>
      <c r="Q8" s="25">
        <f t="shared" si="4"/>
        <v>0.55555555555555558</v>
      </c>
      <c r="R8" s="26" t="s">
        <v>577</v>
      </c>
    </row>
    <row r="9" spans="1:18" ht="25.5" customHeight="1" x14ac:dyDescent="0.35">
      <c r="A9" s="21">
        <v>5</v>
      </c>
      <c r="B9" s="22" t="s">
        <v>569</v>
      </c>
      <c r="C9" s="14" t="s">
        <v>578</v>
      </c>
      <c r="D9" s="23" t="s">
        <v>35</v>
      </c>
      <c r="E9" s="23" t="s">
        <v>35</v>
      </c>
      <c r="F9" s="23" t="s">
        <v>579</v>
      </c>
      <c r="G9" s="23" t="s">
        <v>35</v>
      </c>
      <c r="H9" s="23" t="s">
        <v>35</v>
      </c>
      <c r="I9" s="23" t="s">
        <v>580</v>
      </c>
      <c r="J9" s="23" t="s">
        <v>35</v>
      </c>
      <c r="K9" s="23" t="s">
        <v>35</v>
      </c>
      <c r="L9" s="23" t="s">
        <v>35</v>
      </c>
      <c r="M9" s="24">
        <f t="shared" si="0"/>
        <v>1</v>
      </c>
      <c r="N9" s="24">
        <f t="shared" si="1"/>
        <v>1</v>
      </c>
      <c r="O9" s="24">
        <f t="shared" si="2"/>
        <v>7</v>
      </c>
      <c r="P9" s="24">
        <f t="shared" si="3"/>
        <v>0</v>
      </c>
      <c r="Q9" s="25">
        <f t="shared" si="4"/>
        <v>0.16666666666666666</v>
      </c>
      <c r="R9" s="26" t="s">
        <v>581</v>
      </c>
    </row>
    <row r="10" spans="1:18" ht="25.5" customHeight="1" x14ac:dyDescent="0.35">
      <c r="A10" s="21">
        <v>6</v>
      </c>
      <c r="B10" s="22" t="s">
        <v>569</v>
      </c>
      <c r="C10" s="14" t="s">
        <v>582</v>
      </c>
      <c r="D10" s="23" t="s">
        <v>35</v>
      </c>
      <c r="E10" s="23" t="s">
        <v>35</v>
      </c>
      <c r="F10" s="23" t="s">
        <v>35</v>
      </c>
      <c r="G10" s="23" t="s">
        <v>35</v>
      </c>
      <c r="H10" s="23" t="s">
        <v>35</v>
      </c>
      <c r="I10" s="23" t="s">
        <v>31</v>
      </c>
      <c r="J10" s="23" t="s">
        <v>35</v>
      </c>
      <c r="K10" s="23" t="s">
        <v>35</v>
      </c>
      <c r="L10" s="23" t="s">
        <v>35</v>
      </c>
      <c r="M10" s="24">
        <f t="shared" si="0"/>
        <v>1</v>
      </c>
      <c r="N10" s="24">
        <f t="shared" si="1"/>
        <v>0</v>
      </c>
      <c r="O10" s="24">
        <f t="shared" si="2"/>
        <v>8</v>
      </c>
      <c r="P10" s="24">
        <f t="shared" si="3"/>
        <v>0</v>
      </c>
      <c r="Q10" s="25">
        <f t="shared" si="4"/>
        <v>0.1111111111111111</v>
      </c>
      <c r="R10" s="26" t="s">
        <v>583</v>
      </c>
    </row>
    <row r="11" spans="1:18" ht="25.5" customHeight="1" x14ac:dyDescent="0.35">
      <c r="A11" s="21">
        <v>7</v>
      </c>
      <c r="B11" s="22" t="s">
        <v>569</v>
      </c>
      <c r="C11" s="14" t="s">
        <v>584</v>
      </c>
      <c r="D11" s="23" t="s">
        <v>31</v>
      </c>
      <c r="E11" s="23" t="s">
        <v>31</v>
      </c>
      <c r="F11" s="23" t="s">
        <v>31</v>
      </c>
      <c r="G11" s="23" t="s">
        <v>37</v>
      </c>
      <c r="H11" s="23" t="s">
        <v>35</v>
      </c>
      <c r="I11" s="23" t="s">
        <v>37</v>
      </c>
      <c r="J11" s="23" t="s">
        <v>31</v>
      </c>
      <c r="K11" s="23" t="s">
        <v>31</v>
      </c>
      <c r="L11" s="23" t="s">
        <v>37</v>
      </c>
      <c r="M11" s="24">
        <f t="shared" si="0"/>
        <v>5</v>
      </c>
      <c r="N11" s="24">
        <f t="shared" si="1"/>
        <v>0</v>
      </c>
      <c r="O11" s="24">
        <f t="shared" si="2"/>
        <v>1</v>
      </c>
      <c r="P11" s="24">
        <f t="shared" si="3"/>
        <v>3</v>
      </c>
      <c r="Q11" s="25">
        <f t="shared" si="4"/>
        <v>0.55555555555555558</v>
      </c>
      <c r="R11" s="26" t="s">
        <v>585</v>
      </c>
    </row>
    <row r="12" spans="1:18" ht="25.5" customHeight="1" x14ac:dyDescent="0.35">
      <c r="A12" s="21">
        <v>8</v>
      </c>
      <c r="B12" s="22" t="s">
        <v>569</v>
      </c>
      <c r="C12" s="14" t="s">
        <v>586</v>
      </c>
      <c r="D12" s="23" t="s">
        <v>33</v>
      </c>
      <c r="E12" s="23" t="s">
        <v>33</v>
      </c>
      <c r="F12" s="23" t="s">
        <v>31</v>
      </c>
      <c r="G12" s="23" t="s">
        <v>35</v>
      </c>
      <c r="H12" s="23" t="s">
        <v>35</v>
      </c>
      <c r="I12" s="23" t="s">
        <v>35</v>
      </c>
      <c r="J12" s="23" t="s">
        <v>35</v>
      </c>
      <c r="K12" s="23" t="s">
        <v>33</v>
      </c>
      <c r="L12" s="23" t="s">
        <v>35</v>
      </c>
      <c r="M12" s="24">
        <f t="shared" si="0"/>
        <v>1</v>
      </c>
      <c r="N12" s="24">
        <f t="shared" si="1"/>
        <v>3</v>
      </c>
      <c r="O12" s="24">
        <f t="shared" si="2"/>
        <v>5</v>
      </c>
      <c r="P12" s="24">
        <f t="shared" si="3"/>
        <v>0</v>
      </c>
      <c r="Q12" s="25">
        <f t="shared" si="4"/>
        <v>0.27777777777777779</v>
      </c>
      <c r="R12" s="26" t="s">
        <v>587</v>
      </c>
    </row>
    <row r="13" spans="1:18" ht="25.5" customHeight="1" x14ac:dyDescent="0.35">
      <c r="A13" s="21">
        <v>9</v>
      </c>
      <c r="B13" s="22" t="s">
        <v>569</v>
      </c>
      <c r="C13" s="14" t="s">
        <v>588</v>
      </c>
      <c r="D13" s="23" t="s">
        <v>33</v>
      </c>
      <c r="E13" s="23" t="s">
        <v>31</v>
      </c>
      <c r="F13" s="23" t="s">
        <v>31</v>
      </c>
      <c r="G13" s="23" t="s">
        <v>33</v>
      </c>
      <c r="H13" s="23" t="s">
        <v>35</v>
      </c>
      <c r="I13" s="23" t="s">
        <v>37</v>
      </c>
      <c r="J13" s="23" t="s">
        <v>31</v>
      </c>
      <c r="K13" s="23" t="s">
        <v>31</v>
      </c>
      <c r="L13" s="23" t="s">
        <v>33</v>
      </c>
      <c r="M13" s="24">
        <f t="shared" si="0"/>
        <v>4</v>
      </c>
      <c r="N13" s="24">
        <f t="shared" si="1"/>
        <v>3</v>
      </c>
      <c r="O13" s="24">
        <f t="shared" si="2"/>
        <v>1</v>
      </c>
      <c r="P13" s="24">
        <f t="shared" si="3"/>
        <v>1</v>
      </c>
      <c r="Q13" s="25">
        <f t="shared" si="4"/>
        <v>0.61111111111111116</v>
      </c>
      <c r="R13" s="26" t="s">
        <v>589</v>
      </c>
    </row>
    <row r="14" spans="1:18" ht="25.5" customHeight="1" x14ac:dyDescent="0.35">
      <c r="A14" s="21">
        <v>10</v>
      </c>
      <c r="B14" s="22" t="s">
        <v>569</v>
      </c>
      <c r="C14" s="14" t="s">
        <v>590</v>
      </c>
      <c r="D14" s="23" t="s">
        <v>31</v>
      </c>
      <c r="E14" s="23" t="s">
        <v>31</v>
      </c>
      <c r="F14" s="23" t="s">
        <v>31</v>
      </c>
      <c r="G14" s="23" t="s">
        <v>31</v>
      </c>
      <c r="H14" s="23" t="s">
        <v>33</v>
      </c>
      <c r="I14" s="23" t="s">
        <v>33</v>
      </c>
      <c r="J14" s="23" t="s">
        <v>31</v>
      </c>
      <c r="K14" s="23" t="s">
        <v>31</v>
      </c>
      <c r="L14" s="23" t="s">
        <v>35</v>
      </c>
      <c r="M14" s="24">
        <f t="shared" si="0"/>
        <v>6</v>
      </c>
      <c r="N14" s="24">
        <f t="shared" si="1"/>
        <v>2</v>
      </c>
      <c r="O14" s="24">
        <f t="shared" si="2"/>
        <v>1</v>
      </c>
      <c r="P14" s="24">
        <f t="shared" si="3"/>
        <v>0</v>
      </c>
      <c r="Q14" s="25">
        <f t="shared" si="4"/>
        <v>0.77777777777777779</v>
      </c>
      <c r="R14" s="26" t="s">
        <v>591</v>
      </c>
    </row>
    <row r="15" spans="1:18" ht="25.5" customHeight="1" x14ac:dyDescent="0.35">
      <c r="A15" s="21">
        <v>11</v>
      </c>
      <c r="B15" s="22" t="s">
        <v>569</v>
      </c>
      <c r="C15" s="14" t="s">
        <v>592</v>
      </c>
      <c r="D15" s="23" t="s">
        <v>31</v>
      </c>
      <c r="E15" s="23" t="s">
        <v>37</v>
      </c>
      <c r="F15" s="23" t="s">
        <v>35</v>
      </c>
      <c r="G15" s="23" t="s">
        <v>35</v>
      </c>
      <c r="H15" s="23" t="s">
        <v>35</v>
      </c>
      <c r="I15" s="23" t="s">
        <v>37</v>
      </c>
      <c r="J15" s="23" t="s">
        <v>35</v>
      </c>
      <c r="K15" s="23" t="s">
        <v>35</v>
      </c>
      <c r="L15" s="23" t="s">
        <v>35</v>
      </c>
      <c r="M15" s="24">
        <f t="shared" si="0"/>
        <v>1</v>
      </c>
      <c r="N15" s="24">
        <f t="shared" si="1"/>
        <v>0</v>
      </c>
      <c r="O15" s="24">
        <f t="shared" si="2"/>
        <v>6</v>
      </c>
      <c r="P15" s="24">
        <f t="shared" si="3"/>
        <v>2</v>
      </c>
      <c r="Q15" s="25">
        <f t="shared" si="4"/>
        <v>0.1111111111111111</v>
      </c>
      <c r="R15" s="26" t="s">
        <v>593</v>
      </c>
    </row>
    <row r="16" spans="1:18" ht="25.5" customHeight="1" x14ac:dyDescent="0.35">
      <c r="A16" s="21">
        <v>12</v>
      </c>
      <c r="B16" s="22" t="s">
        <v>569</v>
      </c>
      <c r="C16" s="14" t="s">
        <v>594</v>
      </c>
      <c r="D16" s="23" t="s">
        <v>35</v>
      </c>
      <c r="E16" s="23" t="s">
        <v>35</v>
      </c>
      <c r="F16" s="23" t="s">
        <v>35</v>
      </c>
      <c r="G16" s="23" t="s">
        <v>35</v>
      </c>
      <c r="H16" s="23" t="s">
        <v>35</v>
      </c>
      <c r="I16" s="23" t="s">
        <v>35</v>
      </c>
      <c r="J16" s="23" t="s">
        <v>35</v>
      </c>
      <c r="K16" s="23" t="s">
        <v>35</v>
      </c>
      <c r="L16" s="23" t="s">
        <v>35</v>
      </c>
      <c r="M16" s="24">
        <f t="shared" si="0"/>
        <v>0</v>
      </c>
      <c r="N16" s="24">
        <f t="shared" si="1"/>
        <v>0</v>
      </c>
      <c r="O16" s="24">
        <f t="shared" si="2"/>
        <v>9</v>
      </c>
      <c r="P16" s="24">
        <f t="shared" si="3"/>
        <v>0</v>
      </c>
      <c r="Q16" s="25">
        <f t="shared" si="4"/>
        <v>0</v>
      </c>
      <c r="R16" s="26" t="s">
        <v>595</v>
      </c>
    </row>
    <row r="17" spans="1:18" ht="25.5" customHeight="1" x14ac:dyDescent="0.35">
      <c r="A17" s="21">
        <v>13</v>
      </c>
      <c r="B17" s="22" t="s">
        <v>569</v>
      </c>
      <c r="C17" s="14" t="s">
        <v>596</v>
      </c>
      <c r="D17" s="23" t="s">
        <v>35</v>
      </c>
      <c r="E17" s="23" t="s">
        <v>35</v>
      </c>
      <c r="F17" s="23" t="s">
        <v>35</v>
      </c>
      <c r="G17" s="23" t="s">
        <v>35</v>
      </c>
      <c r="H17" s="23" t="s">
        <v>35</v>
      </c>
      <c r="I17" s="23" t="s">
        <v>33</v>
      </c>
      <c r="J17" s="23" t="s">
        <v>33</v>
      </c>
      <c r="K17" s="23" t="s">
        <v>35</v>
      </c>
      <c r="L17" s="23" t="s">
        <v>35</v>
      </c>
      <c r="M17" s="24">
        <f t="shared" si="0"/>
        <v>0</v>
      </c>
      <c r="N17" s="24">
        <f t="shared" si="1"/>
        <v>2</v>
      </c>
      <c r="O17" s="24">
        <f t="shared" si="2"/>
        <v>7</v>
      </c>
      <c r="P17" s="24">
        <f t="shared" si="3"/>
        <v>0</v>
      </c>
      <c r="Q17" s="25">
        <f t="shared" si="4"/>
        <v>0.1111111111111111</v>
      </c>
      <c r="R17" s="26" t="s">
        <v>597</v>
      </c>
    </row>
    <row r="18" spans="1:18" ht="25.5" customHeight="1" x14ac:dyDescent="0.35">
      <c r="A18" s="21">
        <v>14</v>
      </c>
      <c r="B18" s="22" t="s">
        <v>569</v>
      </c>
      <c r="C18" s="14" t="s">
        <v>598</v>
      </c>
      <c r="D18" s="23" t="s">
        <v>35</v>
      </c>
      <c r="E18" s="23" t="s">
        <v>35</v>
      </c>
      <c r="F18" s="23" t="s">
        <v>35</v>
      </c>
      <c r="G18" s="23" t="s">
        <v>35</v>
      </c>
      <c r="H18" s="23" t="s">
        <v>35</v>
      </c>
      <c r="I18" s="23" t="s">
        <v>31</v>
      </c>
      <c r="J18" s="23" t="s">
        <v>33</v>
      </c>
      <c r="K18" s="23" t="s">
        <v>35</v>
      </c>
      <c r="L18" s="23" t="s">
        <v>35</v>
      </c>
      <c r="M18" s="24">
        <f t="shared" si="0"/>
        <v>1</v>
      </c>
      <c r="N18" s="24">
        <f t="shared" si="1"/>
        <v>1</v>
      </c>
      <c r="O18" s="24">
        <f t="shared" si="2"/>
        <v>7</v>
      </c>
      <c r="P18" s="24">
        <f t="shared" si="3"/>
        <v>0</v>
      </c>
      <c r="Q18" s="25">
        <f t="shared" si="4"/>
        <v>0.16666666666666666</v>
      </c>
      <c r="R18" s="26" t="s">
        <v>599</v>
      </c>
    </row>
    <row r="19" spans="1:18" ht="25.5" customHeight="1" x14ac:dyDescent="0.35">
      <c r="A19" s="21">
        <v>15</v>
      </c>
      <c r="B19" s="22" t="s">
        <v>600</v>
      </c>
      <c r="C19" s="14" t="s">
        <v>601</v>
      </c>
      <c r="D19" s="23" t="s">
        <v>31</v>
      </c>
      <c r="E19" s="23" t="s">
        <v>31</v>
      </c>
      <c r="F19" s="23" t="s">
        <v>31</v>
      </c>
      <c r="G19" s="23" t="s">
        <v>31</v>
      </c>
      <c r="H19" s="23" t="s">
        <v>31</v>
      </c>
      <c r="I19" s="23" t="s">
        <v>31</v>
      </c>
      <c r="J19" s="23" t="s">
        <v>31</v>
      </c>
      <c r="K19" s="23" t="s">
        <v>31</v>
      </c>
      <c r="L19" s="23" t="s">
        <v>31</v>
      </c>
      <c r="M19" s="24">
        <f t="shared" si="0"/>
        <v>9</v>
      </c>
      <c r="N19" s="24">
        <f t="shared" si="1"/>
        <v>0</v>
      </c>
      <c r="O19" s="24">
        <f t="shared" si="2"/>
        <v>0</v>
      </c>
      <c r="P19" s="24">
        <f t="shared" si="3"/>
        <v>0</v>
      </c>
      <c r="Q19" s="25">
        <f t="shared" si="4"/>
        <v>1</v>
      </c>
      <c r="R19" s="26"/>
    </row>
    <row r="20" spans="1:18" ht="25.5" customHeight="1" x14ac:dyDescent="0.35">
      <c r="A20" s="21">
        <v>16</v>
      </c>
      <c r="B20" s="22" t="s">
        <v>600</v>
      </c>
      <c r="C20" s="14" t="s">
        <v>602</v>
      </c>
      <c r="D20" s="23" t="s">
        <v>37</v>
      </c>
      <c r="E20" s="23" t="s">
        <v>37</v>
      </c>
      <c r="F20" s="23" t="s">
        <v>37</v>
      </c>
      <c r="G20" s="23" t="s">
        <v>35</v>
      </c>
      <c r="H20" s="23" t="s">
        <v>35</v>
      </c>
      <c r="I20" s="23" t="s">
        <v>37</v>
      </c>
      <c r="J20" s="23" t="s">
        <v>31</v>
      </c>
      <c r="K20" s="23" t="s">
        <v>37</v>
      </c>
      <c r="L20" s="23" t="s">
        <v>37</v>
      </c>
      <c r="M20" s="24">
        <f t="shared" si="0"/>
        <v>1</v>
      </c>
      <c r="N20" s="24">
        <f t="shared" si="1"/>
        <v>0</v>
      </c>
      <c r="O20" s="24">
        <f t="shared" si="2"/>
        <v>2</v>
      </c>
      <c r="P20" s="24">
        <f t="shared" si="3"/>
        <v>6</v>
      </c>
      <c r="Q20" s="25">
        <f t="shared" si="4"/>
        <v>0.1111111111111111</v>
      </c>
      <c r="R20" s="26" t="s">
        <v>603</v>
      </c>
    </row>
    <row r="21" spans="1:18" ht="25.5" customHeight="1" x14ac:dyDescent="0.35">
      <c r="A21" s="21">
        <v>17</v>
      </c>
      <c r="B21" s="22" t="s">
        <v>600</v>
      </c>
      <c r="C21" s="14" t="s">
        <v>604</v>
      </c>
      <c r="D21" s="23" t="s">
        <v>31</v>
      </c>
      <c r="E21" s="23" t="s">
        <v>31</v>
      </c>
      <c r="F21" s="23" t="s">
        <v>37</v>
      </c>
      <c r="G21" s="23" t="s">
        <v>31</v>
      </c>
      <c r="H21" s="23" t="s">
        <v>35</v>
      </c>
      <c r="I21" s="23" t="s">
        <v>31</v>
      </c>
      <c r="J21" s="23" t="s">
        <v>31</v>
      </c>
      <c r="K21" s="23" t="s">
        <v>37</v>
      </c>
      <c r="L21" s="23" t="s">
        <v>31</v>
      </c>
      <c r="M21" s="24">
        <f t="shared" si="0"/>
        <v>6</v>
      </c>
      <c r="N21" s="24">
        <f t="shared" si="1"/>
        <v>0</v>
      </c>
      <c r="O21" s="24">
        <f t="shared" si="2"/>
        <v>1</v>
      </c>
      <c r="P21" s="24">
        <f t="shared" si="3"/>
        <v>2</v>
      </c>
      <c r="Q21" s="25">
        <f t="shared" si="4"/>
        <v>0.66666666666666663</v>
      </c>
      <c r="R21" s="26"/>
    </row>
    <row r="22" spans="1:18" ht="25.5" customHeight="1" x14ac:dyDescent="0.35">
      <c r="A22" s="21">
        <v>18</v>
      </c>
      <c r="B22" s="22" t="s">
        <v>600</v>
      </c>
      <c r="C22" s="14" t="s">
        <v>605</v>
      </c>
      <c r="D22" s="23" t="s">
        <v>31</v>
      </c>
      <c r="E22" s="23" t="s">
        <v>31</v>
      </c>
      <c r="F22" s="23" t="s">
        <v>33</v>
      </c>
      <c r="G22" s="23" t="s">
        <v>31</v>
      </c>
      <c r="H22" s="23" t="s">
        <v>33</v>
      </c>
      <c r="I22" s="23" t="s">
        <v>31</v>
      </c>
      <c r="J22" s="23" t="s">
        <v>31</v>
      </c>
      <c r="K22" s="23" t="s">
        <v>31</v>
      </c>
      <c r="L22" s="23" t="s">
        <v>31</v>
      </c>
      <c r="M22" s="24">
        <f t="shared" si="0"/>
        <v>7</v>
      </c>
      <c r="N22" s="24">
        <f t="shared" si="1"/>
        <v>2</v>
      </c>
      <c r="O22" s="24">
        <f t="shared" si="2"/>
        <v>0</v>
      </c>
      <c r="P22" s="24">
        <f t="shared" si="3"/>
        <v>0</v>
      </c>
      <c r="Q22" s="25">
        <f t="shared" si="4"/>
        <v>0.88888888888888884</v>
      </c>
      <c r="R22" s="26" t="s">
        <v>606</v>
      </c>
    </row>
    <row r="23" spans="1:18" ht="25.5" customHeight="1" x14ac:dyDescent="0.35">
      <c r="A23" s="21">
        <v>19</v>
      </c>
      <c r="B23" s="22" t="s">
        <v>600</v>
      </c>
      <c r="C23" s="14" t="s">
        <v>607</v>
      </c>
      <c r="D23" s="23" t="s">
        <v>33</v>
      </c>
      <c r="E23" s="23" t="s">
        <v>33</v>
      </c>
      <c r="F23" s="23" t="s">
        <v>33</v>
      </c>
      <c r="G23" s="23" t="s">
        <v>31</v>
      </c>
      <c r="H23" s="23" t="s">
        <v>33</v>
      </c>
      <c r="I23" s="23" t="s">
        <v>31</v>
      </c>
      <c r="J23" s="23" t="s">
        <v>33</v>
      </c>
      <c r="K23" s="23" t="s">
        <v>33</v>
      </c>
      <c r="L23" s="23" t="s">
        <v>33</v>
      </c>
      <c r="M23" s="24">
        <f t="shared" si="0"/>
        <v>2</v>
      </c>
      <c r="N23" s="24">
        <f t="shared" si="1"/>
        <v>7</v>
      </c>
      <c r="O23" s="24">
        <f t="shared" si="2"/>
        <v>0</v>
      </c>
      <c r="P23" s="24">
        <f t="shared" si="3"/>
        <v>0</v>
      </c>
      <c r="Q23" s="25">
        <f t="shared" si="4"/>
        <v>0.61111111111111116</v>
      </c>
      <c r="R23" s="26" t="s">
        <v>608</v>
      </c>
    </row>
    <row r="24" spans="1:18" ht="25.5" customHeight="1" x14ac:dyDescent="0.35">
      <c r="A24" s="21">
        <v>20</v>
      </c>
      <c r="B24" s="22" t="s">
        <v>600</v>
      </c>
      <c r="C24" s="14" t="s">
        <v>609</v>
      </c>
      <c r="D24" s="23" t="s">
        <v>35</v>
      </c>
      <c r="E24" s="23" t="s">
        <v>37</v>
      </c>
      <c r="F24" s="23" t="s">
        <v>35</v>
      </c>
      <c r="G24" s="23" t="s">
        <v>31</v>
      </c>
      <c r="H24" s="23" t="s">
        <v>35</v>
      </c>
      <c r="I24" s="23" t="s">
        <v>31</v>
      </c>
      <c r="J24" s="23" t="s">
        <v>37</v>
      </c>
      <c r="K24" s="23" t="s">
        <v>35</v>
      </c>
      <c r="L24" s="23" t="s">
        <v>37</v>
      </c>
      <c r="M24" s="24">
        <f t="shared" si="0"/>
        <v>2</v>
      </c>
      <c r="N24" s="24">
        <f t="shared" si="1"/>
        <v>0</v>
      </c>
      <c r="O24" s="24">
        <f t="shared" si="2"/>
        <v>4</v>
      </c>
      <c r="P24" s="24">
        <f t="shared" si="3"/>
        <v>3</v>
      </c>
      <c r="Q24" s="25">
        <f t="shared" si="4"/>
        <v>0.22222222222222221</v>
      </c>
      <c r="R24" s="26"/>
    </row>
    <row r="25" spans="1:18" ht="25.5" customHeight="1" x14ac:dyDescent="0.35">
      <c r="A25" s="21">
        <v>21</v>
      </c>
      <c r="B25" s="22" t="s">
        <v>600</v>
      </c>
      <c r="C25" s="14" t="s">
        <v>610</v>
      </c>
      <c r="D25" s="23" t="s">
        <v>35</v>
      </c>
      <c r="E25" s="23" t="s">
        <v>33</v>
      </c>
      <c r="F25" s="23" t="s">
        <v>35</v>
      </c>
      <c r="G25" s="23" t="s">
        <v>33</v>
      </c>
      <c r="H25" s="23" t="s">
        <v>35</v>
      </c>
      <c r="I25" s="23" t="s">
        <v>31</v>
      </c>
      <c r="J25" s="23" t="s">
        <v>37</v>
      </c>
      <c r="K25" s="23" t="s">
        <v>35</v>
      </c>
      <c r="L25" s="23" t="s">
        <v>35</v>
      </c>
      <c r="M25" s="24">
        <f t="shared" si="0"/>
        <v>1</v>
      </c>
      <c r="N25" s="24">
        <f t="shared" si="1"/>
        <v>2</v>
      </c>
      <c r="O25" s="24">
        <f t="shared" si="2"/>
        <v>5</v>
      </c>
      <c r="P25" s="24">
        <f t="shared" si="3"/>
        <v>1</v>
      </c>
      <c r="Q25" s="25">
        <f t="shared" si="4"/>
        <v>0.22222222222222221</v>
      </c>
      <c r="R25" s="26" t="s">
        <v>611</v>
      </c>
    </row>
    <row r="26" spans="1:18" ht="25.5" customHeight="1" x14ac:dyDescent="0.35">
      <c r="A26" s="21">
        <v>22</v>
      </c>
      <c r="B26" s="22" t="s">
        <v>600</v>
      </c>
      <c r="C26" s="14" t="s">
        <v>612</v>
      </c>
      <c r="D26" s="23" t="s">
        <v>35</v>
      </c>
      <c r="E26" s="23" t="s">
        <v>613</v>
      </c>
      <c r="F26" s="23" t="s">
        <v>35</v>
      </c>
      <c r="G26" s="23" t="s">
        <v>31</v>
      </c>
      <c r="H26" s="23" t="s">
        <v>35</v>
      </c>
      <c r="I26" s="23" t="s">
        <v>31</v>
      </c>
      <c r="J26" s="23" t="s">
        <v>33</v>
      </c>
      <c r="K26" s="23" t="s">
        <v>35</v>
      </c>
      <c r="L26" s="23" t="s">
        <v>33</v>
      </c>
      <c r="M26" s="24">
        <f t="shared" si="0"/>
        <v>3</v>
      </c>
      <c r="N26" s="24">
        <f t="shared" si="1"/>
        <v>2</v>
      </c>
      <c r="O26" s="24">
        <f t="shared" si="2"/>
        <v>4</v>
      </c>
      <c r="P26" s="24">
        <f t="shared" si="3"/>
        <v>0</v>
      </c>
      <c r="Q26" s="25">
        <f t="shared" si="4"/>
        <v>0.44444444444444442</v>
      </c>
      <c r="R26" s="26" t="s">
        <v>614</v>
      </c>
    </row>
    <row r="27" spans="1:18" ht="25.5" customHeight="1" x14ac:dyDescent="0.35">
      <c r="A27" s="21">
        <v>23</v>
      </c>
      <c r="B27" s="22" t="s">
        <v>600</v>
      </c>
      <c r="C27" s="14" t="s">
        <v>615</v>
      </c>
      <c r="D27" s="23" t="s">
        <v>35</v>
      </c>
      <c r="E27" s="23" t="s">
        <v>616</v>
      </c>
      <c r="F27" s="23" t="s">
        <v>35</v>
      </c>
      <c r="G27" s="23" t="s">
        <v>35</v>
      </c>
      <c r="H27" s="23" t="s">
        <v>35</v>
      </c>
      <c r="I27" s="23" t="s">
        <v>31</v>
      </c>
      <c r="J27" s="23" t="s">
        <v>35</v>
      </c>
      <c r="K27" s="23" t="s">
        <v>35</v>
      </c>
      <c r="L27" s="23" t="s">
        <v>35</v>
      </c>
      <c r="M27" s="24">
        <f t="shared" si="0"/>
        <v>1</v>
      </c>
      <c r="N27" s="24">
        <f t="shared" si="1"/>
        <v>1</v>
      </c>
      <c r="O27" s="24">
        <f t="shared" si="2"/>
        <v>7</v>
      </c>
      <c r="P27" s="24">
        <f t="shared" si="3"/>
        <v>0</v>
      </c>
      <c r="Q27" s="25">
        <f t="shared" si="4"/>
        <v>0.16666666666666666</v>
      </c>
      <c r="R27" s="26" t="s">
        <v>617</v>
      </c>
    </row>
    <row r="28" spans="1:18" ht="25.5" customHeight="1" x14ac:dyDescent="0.35">
      <c r="A28" s="21">
        <v>24</v>
      </c>
      <c r="B28" s="22" t="s">
        <v>600</v>
      </c>
      <c r="C28" s="14" t="s">
        <v>618</v>
      </c>
      <c r="D28" s="23" t="s">
        <v>35</v>
      </c>
      <c r="E28" s="23" t="s">
        <v>613</v>
      </c>
      <c r="F28" s="23" t="s">
        <v>35</v>
      </c>
      <c r="G28" s="23" t="s">
        <v>31</v>
      </c>
      <c r="H28" s="23" t="s">
        <v>35</v>
      </c>
      <c r="I28" s="23" t="s">
        <v>31</v>
      </c>
      <c r="J28" s="23" t="s">
        <v>37</v>
      </c>
      <c r="K28" s="23" t="s">
        <v>35</v>
      </c>
      <c r="L28" s="23" t="s">
        <v>35</v>
      </c>
      <c r="M28" s="24">
        <f t="shared" si="0"/>
        <v>3</v>
      </c>
      <c r="N28" s="24">
        <f t="shared" si="1"/>
        <v>0</v>
      </c>
      <c r="O28" s="24">
        <f t="shared" si="2"/>
        <v>5</v>
      </c>
      <c r="P28" s="24">
        <f t="shared" si="3"/>
        <v>1</v>
      </c>
      <c r="Q28" s="25">
        <f t="shared" si="4"/>
        <v>0.33333333333333331</v>
      </c>
      <c r="R28" s="26" t="s">
        <v>619</v>
      </c>
    </row>
    <row r="29" spans="1:18" ht="25.5" customHeight="1" x14ac:dyDescent="0.35">
      <c r="A29" s="21">
        <v>25</v>
      </c>
      <c r="B29" s="22" t="s">
        <v>600</v>
      </c>
      <c r="C29" s="14" t="s">
        <v>620</v>
      </c>
      <c r="D29" s="23" t="s">
        <v>35</v>
      </c>
      <c r="E29" s="23" t="s">
        <v>37</v>
      </c>
      <c r="F29" s="23" t="s">
        <v>35</v>
      </c>
      <c r="G29" s="23" t="s">
        <v>33</v>
      </c>
      <c r="H29" s="23" t="s">
        <v>35</v>
      </c>
      <c r="I29" s="23" t="s">
        <v>31</v>
      </c>
      <c r="J29" s="23" t="s">
        <v>37</v>
      </c>
      <c r="K29" s="23" t="s">
        <v>35</v>
      </c>
      <c r="L29" s="23" t="s">
        <v>35</v>
      </c>
      <c r="M29" s="24">
        <f t="shared" si="0"/>
        <v>1</v>
      </c>
      <c r="N29" s="24">
        <f t="shared" si="1"/>
        <v>1</v>
      </c>
      <c r="O29" s="24">
        <f t="shared" si="2"/>
        <v>5</v>
      </c>
      <c r="P29" s="24">
        <f t="shared" si="3"/>
        <v>2</v>
      </c>
      <c r="Q29" s="25">
        <f t="shared" si="4"/>
        <v>0.16666666666666666</v>
      </c>
      <c r="R29" s="26" t="s">
        <v>621</v>
      </c>
    </row>
    <row r="30" spans="1:18" ht="25.5" customHeight="1" x14ac:dyDescent="0.35">
      <c r="A30" s="21">
        <v>26</v>
      </c>
      <c r="B30" s="22" t="s">
        <v>600</v>
      </c>
      <c r="C30" s="14" t="s">
        <v>622</v>
      </c>
      <c r="D30" s="23" t="s">
        <v>35</v>
      </c>
      <c r="E30" s="23" t="s">
        <v>37</v>
      </c>
      <c r="F30" s="23" t="s">
        <v>35</v>
      </c>
      <c r="G30" s="23" t="s">
        <v>33</v>
      </c>
      <c r="H30" s="23" t="s">
        <v>35</v>
      </c>
      <c r="I30" s="23" t="s">
        <v>37</v>
      </c>
      <c r="J30" s="23" t="s">
        <v>35</v>
      </c>
      <c r="K30" s="23" t="s">
        <v>35</v>
      </c>
      <c r="L30" s="23" t="s">
        <v>35</v>
      </c>
      <c r="M30" s="24">
        <f t="shared" si="0"/>
        <v>0</v>
      </c>
      <c r="N30" s="24">
        <f t="shared" si="1"/>
        <v>1</v>
      </c>
      <c r="O30" s="24">
        <f t="shared" si="2"/>
        <v>6</v>
      </c>
      <c r="P30" s="24">
        <f t="shared" si="3"/>
        <v>2</v>
      </c>
      <c r="Q30" s="25">
        <f t="shared" si="4"/>
        <v>5.5555555555555552E-2</v>
      </c>
      <c r="R30" s="26" t="s">
        <v>623</v>
      </c>
    </row>
    <row r="31" spans="1:18" ht="25.5" customHeight="1" x14ac:dyDescent="0.35">
      <c r="A31" s="21">
        <v>27</v>
      </c>
      <c r="B31" s="22" t="s">
        <v>600</v>
      </c>
      <c r="C31" s="14" t="s">
        <v>624</v>
      </c>
      <c r="D31" s="23" t="s">
        <v>33</v>
      </c>
      <c r="E31" s="23" t="s">
        <v>31</v>
      </c>
      <c r="F31" s="23" t="s">
        <v>33</v>
      </c>
      <c r="G31" s="23" t="s">
        <v>31</v>
      </c>
      <c r="H31" s="23" t="s">
        <v>35</v>
      </c>
      <c r="I31" s="23" t="s">
        <v>31</v>
      </c>
      <c r="J31" s="23" t="s">
        <v>31</v>
      </c>
      <c r="K31" s="23" t="s">
        <v>33</v>
      </c>
      <c r="L31" s="23" t="s">
        <v>31</v>
      </c>
      <c r="M31" s="24">
        <f t="shared" si="0"/>
        <v>5</v>
      </c>
      <c r="N31" s="24">
        <f t="shared" si="1"/>
        <v>3</v>
      </c>
      <c r="O31" s="24">
        <f t="shared" si="2"/>
        <v>1</v>
      </c>
      <c r="P31" s="24">
        <f t="shared" si="3"/>
        <v>0</v>
      </c>
      <c r="Q31" s="25">
        <f t="shared" si="4"/>
        <v>0.72222222222222221</v>
      </c>
      <c r="R31" s="26" t="s">
        <v>625</v>
      </c>
    </row>
    <row r="32" spans="1:18" ht="25.5" customHeight="1" x14ac:dyDescent="0.35">
      <c r="A32" s="21">
        <v>28</v>
      </c>
      <c r="B32" s="22" t="s">
        <v>600</v>
      </c>
      <c r="C32" s="14" t="s">
        <v>626</v>
      </c>
      <c r="D32" s="23" t="s">
        <v>37</v>
      </c>
      <c r="E32" s="23" t="s">
        <v>37</v>
      </c>
      <c r="F32" s="23" t="s">
        <v>37</v>
      </c>
      <c r="G32" s="23" t="s">
        <v>31</v>
      </c>
      <c r="H32" s="23" t="s">
        <v>35</v>
      </c>
      <c r="I32" s="23" t="s">
        <v>31</v>
      </c>
      <c r="J32" s="23" t="s">
        <v>31</v>
      </c>
      <c r="K32" s="23" t="s">
        <v>37</v>
      </c>
      <c r="L32" s="23" t="s">
        <v>31</v>
      </c>
      <c r="M32" s="24">
        <f t="shared" si="0"/>
        <v>4</v>
      </c>
      <c r="N32" s="24">
        <f t="shared" si="1"/>
        <v>0</v>
      </c>
      <c r="O32" s="24">
        <f t="shared" si="2"/>
        <v>1</v>
      </c>
      <c r="P32" s="24">
        <f t="shared" si="3"/>
        <v>4</v>
      </c>
      <c r="Q32" s="25">
        <f t="shared" si="4"/>
        <v>0.44444444444444442</v>
      </c>
      <c r="R32" s="26"/>
    </row>
    <row r="33" spans="1:18" ht="25.5" customHeight="1" x14ac:dyDescent="0.35">
      <c r="A33" s="21">
        <v>29</v>
      </c>
      <c r="B33" s="22" t="s">
        <v>600</v>
      </c>
      <c r="C33" s="14" t="s">
        <v>627</v>
      </c>
      <c r="D33" s="23" t="s">
        <v>33</v>
      </c>
      <c r="E33" s="23" t="s">
        <v>33</v>
      </c>
      <c r="F33" s="23" t="s">
        <v>33</v>
      </c>
      <c r="G33" s="23" t="s">
        <v>31</v>
      </c>
      <c r="H33" s="23" t="s">
        <v>35</v>
      </c>
      <c r="I33" s="23" t="s">
        <v>31</v>
      </c>
      <c r="J33" s="23" t="s">
        <v>31</v>
      </c>
      <c r="K33" s="23" t="s">
        <v>33</v>
      </c>
      <c r="L33" s="23" t="s">
        <v>31</v>
      </c>
      <c r="M33" s="24">
        <f t="shared" si="0"/>
        <v>4</v>
      </c>
      <c r="N33" s="24">
        <f t="shared" si="1"/>
        <v>4</v>
      </c>
      <c r="O33" s="24">
        <f t="shared" si="2"/>
        <v>1</v>
      </c>
      <c r="P33" s="24">
        <f t="shared" si="3"/>
        <v>0</v>
      </c>
      <c r="Q33" s="25">
        <f t="shared" si="4"/>
        <v>0.66666666666666663</v>
      </c>
      <c r="R33" s="26" t="s">
        <v>628</v>
      </c>
    </row>
    <row r="34" spans="1:18" ht="25.5" customHeight="1" x14ac:dyDescent="0.35">
      <c r="A34" s="21">
        <v>30</v>
      </c>
      <c r="B34" s="22" t="s">
        <v>600</v>
      </c>
      <c r="C34" s="14" t="s">
        <v>629</v>
      </c>
      <c r="D34" s="23" t="s">
        <v>31</v>
      </c>
      <c r="E34" s="23" t="s">
        <v>31</v>
      </c>
      <c r="F34" s="23" t="s">
        <v>33</v>
      </c>
      <c r="G34" s="23" t="s">
        <v>31</v>
      </c>
      <c r="H34" s="23" t="s">
        <v>35</v>
      </c>
      <c r="I34" s="23" t="s">
        <v>31</v>
      </c>
      <c r="J34" s="23" t="s">
        <v>31</v>
      </c>
      <c r="K34" s="23" t="s">
        <v>31</v>
      </c>
      <c r="L34" s="23" t="s">
        <v>613</v>
      </c>
      <c r="M34" s="24">
        <f t="shared" si="0"/>
        <v>7</v>
      </c>
      <c r="N34" s="24">
        <f t="shared" si="1"/>
        <v>1</v>
      </c>
      <c r="O34" s="24">
        <f t="shared" si="2"/>
        <v>1</v>
      </c>
      <c r="P34" s="24">
        <f t="shared" si="3"/>
        <v>0</v>
      </c>
      <c r="Q34" s="25">
        <f t="shared" si="4"/>
        <v>0.83333333333333337</v>
      </c>
      <c r="R34" s="26" t="s">
        <v>630</v>
      </c>
    </row>
    <row r="35" spans="1:18" ht="25.5" customHeight="1" x14ac:dyDescent="0.35">
      <c r="A35" s="21">
        <v>31</v>
      </c>
      <c r="B35" s="22" t="s">
        <v>600</v>
      </c>
      <c r="C35" s="14" t="s">
        <v>631</v>
      </c>
      <c r="D35" s="23" t="s">
        <v>31</v>
      </c>
      <c r="E35" s="23" t="s">
        <v>31</v>
      </c>
      <c r="F35" s="23" t="s">
        <v>31</v>
      </c>
      <c r="G35" s="23" t="s">
        <v>31</v>
      </c>
      <c r="H35" s="23" t="s">
        <v>31</v>
      </c>
      <c r="I35" s="23" t="s">
        <v>31</v>
      </c>
      <c r="J35" s="23" t="s">
        <v>31</v>
      </c>
      <c r="K35" s="23" t="s">
        <v>31</v>
      </c>
      <c r="L35" s="23" t="s">
        <v>31</v>
      </c>
      <c r="M35" s="24">
        <f t="shared" si="0"/>
        <v>9</v>
      </c>
      <c r="N35" s="24">
        <f t="shared" si="1"/>
        <v>0</v>
      </c>
      <c r="O35" s="24">
        <f t="shared" si="2"/>
        <v>0</v>
      </c>
      <c r="P35" s="24">
        <f t="shared" si="3"/>
        <v>0</v>
      </c>
      <c r="Q35" s="25">
        <f t="shared" si="4"/>
        <v>1</v>
      </c>
      <c r="R35" s="26" t="s">
        <v>632</v>
      </c>
    </row>
    <row r="36" spans="1:18" ht="25.5" customHeight="1" x14ac:dyDescent="0.35">
      <c r="A36" s="21">
        <v>32</v>
      </c>
      <c r="B36" s="22" t="s">
        <v>600</v>
      </c>
      <c r="C36" s="14" t="s">
        <v>633</v>
      </c>
      <c r="D36" s="23" t="s">
        <v>33</v>
      </c>
      <c r="E36" s="23" t="s">
        <v>33</v>
      </c>
      <c r="F36" s="23" t="s">
        <v>33</v>
      </c>
      <c r="G36" s="23" t="s">
        <v>33</v>
      </c>
      <c r="H36" s="23" t="s">
        <v>33</v>
      </c>
      <c r="I36" s="23" t="s">
        <v>37</v>
      </c>
      <c r="J36" s="23" t="s">
        <v>33</v>
      </c>
      <c r="K36" s="23" t="s">
        <v>33</v>
      </c>
      <c r="L36" s="23" t="s">
        <v>37</v>
      </c>
      <c r="M36" s="24">
        <f t="shared" si="0"/>
        <v>0</v>
      </c>
      <c r="N36" s="24">
        <f t="shared" si="1"/>
        <v>7</v>
      </c>
      <c r="O36" s="24">
        <f t="shared" si="2"/>
        <v>0</v>
      </c>
      <c r="P36" s="24">
        <f t="shared" si="3"/>
        <v>2</v>
      </c>
      <c r="Q36" s="25">
        <f t="shared" si="4"/>
        <v>0.3888888888888889</v>
      </c>
      <c r="R36" s="26" t="s">
        <v>634</v>
      </c>
    </row>
    <row r="37" spans="1:18" ht="25.5" customHeight="1" x14ac:dyDescent="0.35">
      <c r="A37" s="21">
        <v>33</v>
      </c>
      <c r="B37" s="22" t="s">
        <v>600</v>
      </c>
      <c r="C37" s="14" t="s">
        <v>635</v>
      </c>
      <c r="D37" s="23" t="s">
        <v>35</v>
      </c>
      <c r="E37" s="23" t="s">
        <v>33</v>
      </c>
      <c r="F37" s="23" t="s">
        <v>35</v>
      </c>
      <c r="G37" s="23" t="s">
        <v>33</v>
      </c>
      <c r="H37" s="23" t="s">
        <v>35</v>
      </c>
      <c r="I37" s="23" t="s">
        <v>31</v>
      </c>
      <c r="J37" s="23" t="s">
        <v>33</v>
      </c>
      <c r="K37" s="23" t="s">
        <v>35</v>
      </c>
      <c r="L37" s="23" t="s">
        <v>33</v>
      </c>
      <c r="M37" s="24">
        <f t="shared" si="0"/>
        <v>1</v>
      </c>
      <c r="N37" s="24">
        <f t="shared" si="1"/>
        <v>4</v>
      </c>
      <c r="O37" s="24">
        <f t="shared" si="2"/>
        <v>4</v>
      </c>
      <c r="P37" s="24">
        <f t="shared" si="3"/>
        <v>0</v>
      </c>
      <c r="Q37" s="25">
        <f t="shared" si="4"/>
        <v>0.33333333333333331</v>
      </c>
      <c r="R37" s="26"/>
    </row>
    <row r="38" spans="1:18" ht="25.5" customHeight="1" x14ac:dyDescent="0.35">
      <c r="A38" s="21">
        <v>34</v>
      </c>
      <c r="B38" s="22" t="s">
        <v>600</v>
      </c>
      <c r="C38" s="14" t="s">
        <v>636</v>
      </c>
      <c r="D38" s="23" t="s">
        <v>31</v>
      </c>
      <c r="E38" s="23" t="s">
        <v>31</v>
      </c>
      <c r="F38" s="23" t="s">
        <v>31</v>
      </c>
      <c r="G38" s="23" t="s">
        <v>31</v>
      </c>
      <c r="H38" s="23" t="s">
        <v>31</v>
      </c>
      <c r="I38" s="23" t="s">
        <v>31</v>
      </c>
      <c r="J38" s="23" t="s">
        <v>31</v>
      </c>
      <c r="K38" s="23" t="s">
        <v>31</v>
      </c>
      <c r="L38" s="23" t="s">
        <v>33</v>
      </c>
      <c r="M38" s="24">
        <f t="shared" si="0"/>
        <v>8</v>
      </c>
      <c r="N38" s="24">
        <f t="shared" si="1"/>
        <v>1</v>
      </c>
      <c r="O38" s="24">
        <f t="shared" si="2"/>
        <v>0</v>
      </c>
      <c r="P38" s="24">
        <f t="shared" si="3"/>
        <v>0</v>
      </c>
      <c r="Q38" s="25">
        <f t="shared" si="4"/>
        <v>0.94444444444444442</v>
      </c>
      <c r="R38" s="26" t="s">
        <v>637</v>
      </c>
    </row>
    <row r="39" spans="1:18" ht="25.5" customHeight="1" x14ac:dyDescent="0.35">
      <c r="A39" s="21">
        <v>35</v>
      </c>
      <c r="B39" s="22" t="s">
        <v>600</v>
      </c>
      <c r="C39" s="14" t="s">
        <v>638</v>
      </c>
      <c r="D39" s="23" t="s">
        <v>35</v>
      </c>
      <c r="E39" s="23" t="s">
        <v>33</v>
      </c>
      <c r="F39" s="23" t="s">
        <v>35</v>
      </c>
      <c r="G39" s="23" t="s">
        <v>33</v>
      </c>
      <c r="H39" s="23" t="s">
        <v>35</v>
      </c>
      <c r="I39" s="23" t="s">
        <v>31</v>
      </c>
      <c r="J39" s="23" t="s">
        <v>33</v>
      </c>
      <c r="K39" s="23" t="s">
        <v>33</v>
      </c>
      <c r="L39" s="23" t="s">
        <v>35</v>
      </c>
      <c r="M39" s="24">
        <f t="shared" si="0"/>
        <v>1</v>
      </c>
      <c r="N39" s="24">
        <f t="shared" si="1"/>
        <v>4</v>
      </c>
      <c r="O39" s="24">
        <f t="shared" si="2"/>
        <v>4</v>
      </c>
      <c r="P39" s="24">
        <f t="shared" si="3"/>
        <v>0</v>
      </c>
      <c r="Q39" s="25">
        <f t="shared" si="4"/>
        <v>0.33333333333333331</v>
      </c>
      <c r="R39" s="26" t="s">
        <v>639</v>
      </c>
    </row>
    <row r="40" spans="1:18" ht="25.5" customHeight="1" x14ac:dyDescent="0.35">
      <c r="A40" s="21">
        <v>36</v>
      </c>
      <c r="B40" s="22" t="s">
        <v>600</v>
      </c>
      <c r="C40" s="14" t="s">
        <v>640</v>
      </c>
      <c r="D40" s="23" t="s">
        <v>35</v>
      </c>
      <c r="E40" s="23" t="s">
        <v>33</v>
      </c>
      <c r="F40" s="23" t="s">
        <v>579</v>
      </c>
      <c r="G40" s="23" t="s">
        <v>31</v>
      </c>
      <c r="H40" s="23" t="s">
        <v>35</v>
      </c>
      <c r="I40" s="23" t="s">
        <v>33</v>
      </c>
      <c r="J40" s="23" t="s">
        <v>33</v>
      </c>
      <c r="K40" s="23" t="s">
        <v>35</v>
      </c>
      <c r="L40" s="23" t="s">
        <v>33</v>
      </c>
      <c r="M40" s="24">
        <f t="shared" si="0"/>
        <v>1</v>
      </c>
      <c r="N40" s="24">
        <f t="shared" si="1"/>
        <v>5</v>
      </c>
      <c r="O40" s="24">
        <f t="shared" si="2"/>
        <v>3</v>
      </c>
      <c r="P40" s="24">
        <f t="shared" si="3"/>
        <v>0</v>
      </c>
      <c r="Q40" s="25">
        <f t="shared" si="4"/>
        <v>0.3888888888888889</v>
      </c>
      <c r="R40" s="26" t="s">
        <v>641</v>
      </c>
    </row>
    <row r="41" spans="1:18" ht="25.5" customHeight="1" x14ac:dyDescent="0.35">
      <c r="A41" s="21">
        <v>37</v>
      </c>
      <c r="B41" s="22" t="s">
        <v>600</v>
      </c>
      <c r="C41" s="14" t="s">
        <v>642</v>
      </c>
      <c r="D41" s="23" t="s">
        <v>35</v>
      </c>
      <c r="E41" s="23" t="s">
        <v>37</v>
      </c>
      <c r="F41" s="23" t="s">
        <v>35</v>
      </c>
      <c r="G41" s="23" t="s">
        <v>33</v>
      </c>
      <c r="H41" s="23" t="s">
        <v>35</v>
      </c>
      <c r="I41" s="23" t="s">
        <v>37</v>
      </c>
      <c r="J41" s="23" t="s">
        <v>37</v>
      </c>
      <c r="K41" s="23" t="s">
        <v>35</v>
      </c>
      <c r="L41" s="23" t="s">
        <v>35</v>
      </c>
      <c r="M41" s="24">
        <f t="shared" si="0"/>
        <v>0</v>
      </c>
      <c r="N41" s="24">
        <f t="shared" si="1"/>
        <v>1</v>
      </c>
      <c r="O41" s="24">
        <f t="shared" si="2"/>
        <v>5</v>
      </c>
      <c r="P41" s="24">
        <f t="shared" si="3"/>
        <v>3</v>
      </c>
      <c r="Q41" s="25">
        <f t="shared" si="4"/>
        <v>5.5555555555555552E-2</v>
      </c>
      <c r="R41" s="26" t="s">
        <v>643</v>
      </c>
    </row>
    <row r="42" spans="1:18" ht="25.5" customHeight="1" x14ac:dyDescent="0.35">
      <c r="A42" s="21">
        <v>38</v>
      </c>
      <c r="B42" s="22" t="s">
        <v>600</v>
      </c>
      <c r="C42" s="14" t="s">
        <v>644</v>
      </c>
      <c r="D42" s="23" t="s">
        <v>35</v>
      </c>
      <c r="E42" s="23" t="s">
        <v>33</v>
      </c>
      <c r="F42" s="23" t="s">
        <v>35</v>
      </c>
      <c r="G42" s="23" t="s">
        <v>33</v>
      </c>
      <c r="H42" s="23" t="s">
        <v>35</v>
      </c>
      <c r="I42" s="23" t="s">
        <v>31</v>
      </c>
      <c r="J42" s="23" t="s">
        <v>37</v>
      </c>
      <c r="K42" s="23" t="s">
        <v>35</v>
      </c>
      <c r="L42" s="23" t="s">
        <v>35</v>
      </c>
      <c r="M42" s="24">
        <f t="shared" si="0"/>
        <v>1</v>
      </c>
      <c r="N42" s="24">
        <f t="shared" si="1"/>
        <v>2</v>
      </c>
      <c r="O42" s="24">
        <f t="shared" si="2"/>
        <v>5</v>
      </c>
      <c r="P42" s="24">
        <f t="shared" si="3"/>
        <v>1</v>
      </c>
      <c r="Q42" s="25">
        <f t="shared" si="4"/>
        <v>0.22222222222222221</v>
      </c>
      <c r="R42" s="26"/>
    </row>
    <row r="43" spans="1:18" ht="25.5" customHeight="1" x14ac:dyDescent="0.35">
      <c r="A43" s="21">
        <v>39</v>
      </c>
      <c r="B43" s="22" t="s">
        <v>600</v>
      </c>
      <c r="C43" s="14" t="s">
        <v>645</v>
      </c>
      <c r="D43" s="23" t="s">
        <v>35</v>
      </c>
      <c r="E43" s="23" t="s">
        <v>37</v>
      </c>
      <c r="F43" s="23" t="s">
        <v>35</v>
      </c>
      <c r="G43" s="23" t="s">
        <v>33</v>
      </c>
      <c r="H43" s="23" t="s">
        <v>35</v>
      </c>
      <c r="I43" s="23" t="s">
        <v>33</v>
      </c>
      <c r="J43" s="23" t="s">
        <v>33</v>
      </c>
      <c r="K43" s="23" t="s">
        <v>35</v>
      </c>
      <c r="L43" s="23" t="s">
        <v>33</v>
      </c>
      <c r="M43" s="24">
        <f t="shared" si="0"/>
        <v>0</v>
      </c>
      <c r="N43" s="24">
        <f t="shared" si="1"/>
        <v>4</v>
      </c>
      <c r="O43" s="24">
        <f t="shared" si="2"/>
        <v>4</v>
      </c>
      <c r="P43" s="24">
        <f t="shared" si="3"/>
        <v>1</v>
      </c>
      <c r="Q43" s="25">
        <f t="shared" si="4"/>
        <v>0.22222222222222221</v>
      </c>
      <c r="R43" s="26" t="s">
        <v>646</v>
      </c>
    </row>
    <row r="44" spans="1:18" ht="25.5" customHeight="1" x14ac:dyDescent="0.35">
      <c r="A44" s="21">
        <v>40</v>
      </c>
      <c r="B44" s="22" t="s">
        <v>600</v>
      </c>
      <c r="C44" s="14" t="s">
        <v>647</v>
      </c>
      <c r="D44" s="23" t="s">
        <v>35</v>
      </c>
      <c r="E44" s="23" t="s">
        <v>35</v>
      </c>
      <c r="F44" s="23" t="s">
        <v>35</v>
      </c>
      <c r="G44" s="23" t="s">
        <v>35</v>
      </c>
      <c r="H44" s="23" t="s">
        <v>35</v>
      </c>
      <c r="I44" s="23" t="s">
        <v>35</v>
      </c>
      <c r="J44" s="23" t="s">
        <v>35</v>
      </c>
      <c r="K44" s="23" t="s">
        <v>35</v>
      </c>
      <c r="L44" s="23" t="s">
        <v>35</v>
      </c>
      <c r="M44" s="24">
        <f t="shared" si="0"/>
        <v>0</v>
      </c>
      <c r="N44" s="24">
        <f t="shared" si="1"/>
        <v>0</v>
      </c>
      <c r="O44" s="24">
        <f t="shared" si="2"/>
        <v>9</v>
      </c>
      <c r="P44" s="24">
        <f t="shared" si="3"/>
        <v>0</v>
      </c>
      <c r="Q44" s="25">
        <f t="shared" si="4"/>
        <v>0</v>
      </c>
      <c r="R44" s="26" t="s">
        <v>648</v>
      </c>
    </row>
    <row r="45" spans="1:18" ht="25.5" customHeight="1" x14ac:dyDescent="0.35">
      <c r="A45" s="21">
        <v>41</v>
      </c>
      <c r="B45" s="22" t="s">
        <v>600</v>
      </c>
      <c r="C45" s="14" t="s">
        <v>649</v>
      </c>
      <c r="D45" s="23" t="s">
        <v>35</v>
      </c>
      <c r="E45" s="23" t="s">
        <v>35</v>
      </c>
      <c r="F45" s="23" t="s">
        <v>35</v>
      </c>
      <c r="G45" s="23" t="s">
        <v>35</v>
      </c>
      <c r="H45" s="23" t="s">
        <v>35</v>
      </c>
      <c r="I45" s="23" t="s">
        <v>35</v>
      </c>
      <c r="J45" s="23" t="s">
        <v>35</v>
      </c>
      <c r="K45" s="23" t="s">
        <v>35</v>
      </c>
      <c r="L45" s="23" t="s">
        <v>35</v>
      </c>
      <c r="M45" s="24">
        <f t="shared" si="0"/>
        <v>0</v>
      </c>
      <c r="N45" s="24">
        <f t="shared" si="1"/>
        <v>0</v>
      </c>
      <c r="O45" s="24">
        <f t="shared" si="2"/>
        <v>9</v>
      </c>
      <c r="P45" s="24">
        <f t="shared" si="3"/>
        <v>0</v>
      </c>
      <c r="Q45" s="25">
        <f t="shared" si="4"/>
        <v>0</v>
      </c>
      <c r="R45" s="26" t="s">
        <v>650</v>
      </c>
    </row>
    <row r="46" spans="1:18" ht="25.5" customHeight="1" x14ac:dyDescent="0.35">
      <c r="A46" s="21">
        <v>42</v>
      </c>
      <c r="B46" s="22" t="s">
        <v>600</v>
      </c>
      <c r="C46" s="14" t="s">
        <v>651</v>
      </c>
      <c r="D46" s="23" t="s">
        <v>35</v>
      </c>
      <c r="E46" s="23" t="s">
        <v>35</v>
      </c>
      <c r="F46" s="23" t="s">
        <v>35</v>
      </c>
      <c r="G46" s="23" t="s">
        <v>35</v>
      </c>
      <c r="H46" s="23" t="s">
        <v>35</v>
      </c>
      <c r="I46" s="23" t="s">
        <v>35</v>
      </c>
      <c r="J46" s="23" t="s">
        <v>35</v>
      </c>
      <c r="K46" s="23" t="s">
        <v>35</v>
      </c>
      <c r="L46" s="23" t="s">
        <v>35</v>
      </c>
      <c r="M46" s="24">
        <f t="shared" si="0"/>
        <v>0</v>
      </c>
      <c r="N46" s="24">
        <f t="shared" si="1"/>
        <v>0</v>
      </c>
      <c r="O46" s="24">
        <f t="shared" si="2"/>
        <v>9</v>
      </c>
      <c r="P46" s="24">
        <f t="shared" si="3"/>
        <v>0</v>
      </c>
      <c r="Q46" s="25">
        <f t="shared" si="4"/>
        <v>0</v>
      </c>
      <c r="R46" s="26" t="s">
        <v>650</v>
      </c>
    </row>
    <row r="47" spans="1:18" ht="25.5" customHeight="1" x14ac:dyDescent="0.35">
      <c r="A47" s="21">
        <v>43</v>
      </c>
      <c r="B47" s="22" t="s">
        <v>600</v>
      </c>
      <c r="C47" s="14" t="s">
        <v>652</v>
      </c>
      <c r="D47" s="23" t="s">
        <v>35</v>
      </c>
      <c r="E47" s="23" t="s">
        <v>35</v>
      </c>
      <c r="F47" s="23" t="s">
        <v>35</v>
      </c>
      <c r="G47" s="23" t="s">
        <v>35</v>
      </c>
      <c r="H47" s="23" t="s">
        <v>35</v>
      </c>
      <c r="I47" s="23" t="s">
        <v>35</v>
      </c>
      <c r="J47" s="23" t="s">
        <v>35</v>
      </c>
      <c r="K47" s="23" t="s">
        <v>35</v>
      </c>
      <c r="L47" s="23" t="s">
        <v>35</v>
      </c>
      <c r="M47" s="24">
        <f t="shared" si="0"/>
        <v>0</v>
      </c>
      <c r="N47" s="24">
        <f t="shared" si="1"/>
        <v>0</v>
      </c>
      <c r="O47" s="24">
        <f t="shared" si="2"/>
        <v>9</v>
      </c>
      <c r="P47" s="24">
        <f t="shared" si="3"/>
        <v>0</v>
      </c>
      <c r="Q47" s="25">
        <f t="shared" si="4"/>
        <v>0</v>
      </c>
      <c r="R47" s="26" t="s">
        <v>653</v>
      </c>
    </row>
    <row r="48" spans="1:18" ht="25.5" customHeight="1" x14ac:dyDescent="0.35">
      <c r="A48" s="21">
        <v>44</v>
      </c>
      <c r="B48" s="22" t="s">
        <v>600</v>
      </c>
      <c r="C48" s="14" t="s">
        <v>654</v>
      </c>
      <c r="D48" s="23" t="s">
        <v>35</v>
      </c>
      <c r="E48" s="23" t="s">
        <v>35</v>
      </c>
      <c r="F48" s="23" t="s">
        <v>35</v>
      </c>
      <c r="G48" s="23" t="s">
        <v>35</v>
      </c>
      <c r="H48" s="23" t="s">
        <v>35</v>
      </c>
      <c r="I48" s="23" t="s">
        <v>35</v>
      </c>
      <c r="J48" s="23" t="s">
        <v>35</v>
      </c>
      <c r="K48" s="23" t="s">
        <v>35</v>
      </c>
      <c r="L48" s="23" t="s">
        <v>35</v>
      </c>
      <c r="M48" s="24">
        <f t="shared" si="0"/>
        <v>0</v>
      </c>
      <c r="N48" s="24">
        <f t="shared" si="1"/>
        <v>0</v>
      </c>
      <c r="O48" s="24">
        <f t="shared" si="2"/>
        <v>9</v>
      </c>
      <c r="P48" s="24">
        <f t="shared" si="3"/>
        <v>0</v>
      </c>
      <c r="Q48" s="25">
        <f t="shared" si="4"/>
        <v>0</v>
      </c>
      <c r="R48" s="26" t="s">
        <v>655</v>
      </c>
    </row>
    <row r="49" spans="1:18" ht="25.5" customHeight="1" x14ac:dyDescent="0.35">
      <c r="A49" s="21">
        <v>45</v>
      </c>
      <c r="B49" s="22" t="s">
        <v>600</v>
      </c>
      <c r="C49" s="14" t="s">
        <v>656</v>
      </c>
      <c r="D49" s="23" t="s">
        <v>33</v>
      </c>
      <c r="E49" s="23" t="s">
        <v>33</v>
      </c>
      <c r="F49" s="23" t="s">
        <v>35</v>
      </c>
      <c r="G49" s="23" t="s">
        <v>35</v>
      </c>
      <c r="H49" s="23" t="s">
        <v>35</v>
      </c>
      <c r="I49" s="23" t="s">
        <v>37</v>
      </c>
      <c r="J49" s="23" t="s">
        <v>31</v>
      </c>
      <c r="K49" s="23" t="s">
        <v>35</v>
      </c>
      <c r="L49" s="23" t="s">
        <v>35</v>
      </c>
      <c r="M49" s="24">
        <f t="shared" si="0"/>
        <v>1</v>
      </c>
      <c r="N49" s="24">
        <f t="shared" si="1"/>
        <v>2</v>
      </c>
      <c r="O49" s="24">
        <f t="shared" si="2"/>
        <v>5</v>
      </c>
      <c r="P49" s="24">
        <f t="shared" si="3"/>
        <v>1</v>
      </c>
      <c r="Q49" s="25">
        <f t="shared" si="4"/>
        <v>0.22222222222222221</v>
      </c>
      <c r="R49" s="26" t="s">
        <v>657</v>
      </c>
    </row>
    <row r="50" spans="1:18" ht="25.5" customHeight="1" x14ac:dyDescent="0.35">
      <c r="A50" s="21">
        <v>46</v>
      </c>
      <c r="B50" s="22" t="s">
        <v>600</v>
      </c>
      <c r="C50" s="14" t="s">
        <v>658</v>
      </c>
      <c r="D50" s="23" t="s">
        <v>35</v>
      </c>
      <c r="E50" s="23" t="s">
        <v>35</v>
      </c>
      <c r="F50" s="23" t="s">
        <v>35</v>
      </c>
      <c r="G50" s="23" t="s">
        <v>35</v>
      </c>
      <c r="H50" s="23" t="s">
        <v>35</v>
      </c>
      <c r="I50" s="23" t="s">
        <v>37</v>
      </c>
      <c r="J50" s="23" t="s">
        <v>35</v>
      </c>
      <c r="K50" s="23" t="s">
        <v>35</v>
      </c>
      <c r="L50" s="23" t="s">
        <v>35</v>
      </c>
      <c r="M50" s="24">
        <f t="shared" si="0"/>
        <v>0</v>
      </c>
      <c r="N50" s="24">
        <f t="shared" si="1"/>
        <v>0</v>
      </c>
      <c r="O50" s="24">
        <f t="shared" si="2"/>
        <v>8</v>
      </c>
      <c r="P50" s="24">
        <f t="shared" si="3"/>
        <v>1</v>
      </c>
      <c r="Q50" s="25">
        <f t="shared" si="4"/>
        <v>0</v>
      </c>
      <c r="R50" s="26" t="s">
        <v>659</v>
      </c>
    </row>
    <row r="51" spans="1:18" ht="25.5" customHeight="1" x14ac:dyDescent="0.35">
      <c r="A51" s="21">
        <v>47</v>
      </c>
      <c r="B51" s="22" t="s">
        <v>600</v>
      </c>
      <c r="C51" s="14" t="s">
        <v>660</v>
      </c>
      <c r="D51" s="23" t="s">
        <v>33</v>
      </c>
      <c r="E51" s="23" t="s">
        <v>31</v>
      </c>
      <c r="F51" s="23" t="s">
        <v>31</v>
      </c>
      <c r="G51" s="23" t="s">
        <v>31</v>
      </c>
      <c r="H51" s="23" t="s">
        <v>33</v>
      </c>
      <c r="I51" s="23" t="s">
        <v>31</v>
      </c>
      <c r="J51" s="23" t="s">
        <v>31</v>
      </c>
      <c r="K51" s="23" t="s">
        <v>33</v>
      </c>
      <c r="L51" s="23" t="s">
        <v>31</v>
      </c>
      <c r="M51" s="24">
        <f t="shared" si="0"/>
        <v>6</v>
      </c>
      <c r="N51" s="24">
        <f t="shared" si="1"/>
        <v>3</v>
      </c>
      <c r="O51" s="24">
        <f t="shared" si="2"/>
        <v>0</v>
      </c>
      <c r="P51" s="24">
        <f t="shared" si="3"/>
        <v>0</v>
      </c>
      <c r="Q51" s="25">
        <f t="shared" si="4"/>
        <v>0.83333333333333337</v>
      </c>
      <c r="R51" s="26"/>
    </row>
    <row r="52" spans="1:18" ht="25.5" customHeight="1" x14ac:dyDescent="0.35">
      <c r="A52" s="21">
        <v>48</v>
      </c>
      <c r="B52" s="22" t="s">
        <v>600</v>
      </c>
      <c r="C52" s="14" t="s">
        <v>661</v>
      </c>
      <c r="D52" s="23" t="s">
        <v>35</v>
      </c>
      <c r="E52" s="23" t="s">
        <v>33</v>
      </c>
      <c r="F52" s="23" t="s">
        <v>35</v>
      </c>
      <c r="G52" s="23" t="s">
        <v>31</v>
      </c>
      <c r="H52" s="23" t="s">
        <v>35</v>
      </c>
      <c r="I52" s="23" t="s">
        <v>33</v>
      </c>
      <c r="J52" s="23" t="s">
        <v>33</v>
      </c>
      <c r="K52" s="23" t="s">
        <v>35</v>
      </c>
      <c r="L52" s="23" t="s">
        <v>33</v>
      </c>
      <c r="M52" s="24">
        <f t="shared" si="0"/>
        <v>1</v>
      </c>
      <c r="N52" s="24">
        <f t="shared" si="1"/>
        <v>4</v>
      </c>
      <c r="O52" s="24">
        <f t="shared" si="2"/>
        <v>4</v>
      </c>
      <c r="P52" s="24">
        <f t="shared" si="3"/>
        <v>0</v>
      </c>
      <c r="Q52" s="25">
        <f t="shared" si="4"/>
        <v>0.33333333333333331</v>
      </c>
      <c r="R52" s="26" t="s">
        <v>662</v>
      </c>
    </row>
    <row r="53" spans="1:18" ht="25.5" customHeight="1" x14ac:dyDescent="0.35">
      <c r="A53" s="21">
        <v>49</v>
      </c>
      <c r="B53" s="22" t="s">
        <v>663</v>
      </c>
      <c r="C53" s="14" t="s">
        <v>664</v>
      </c>
      <c r="D53" s="23" t="s">
        <v>31</v>
      </c>
      <c r="E53" s="23" t="s">
        <v>31</v>
      </c>
      <c r="F53" s="23" t="s">
        <v>31</v>
      </c>
      <c r="G53" s="23" t="s">
        <v>31</v>
      </c>
      <c r="H53" s="23" t="s">
        <v>31</v>
      </c>
      <c r="I53" s="23" t="s">
        <v>31</v>
      </c>
      <c r="J53" s="23" t="s">
        <v>31</v>
      </c>
      <c r="K53" s="23" t="s">
        <v>31</v>
      </c>
      <c r="L53" s="23" t="s">
        <v>31</v>
      </c>
      <c r="M53" s="24">
        <f t="shared" si="0"/>
        <v>9</v>
      </c>
      <c r="N53" s="24">
        <f t="shared" si="1"/>
        <v>0</v>
      </c>
      <c r="O53" s="24">
        <f t="shared" si="2"/>
        <v>0</v>
      </c>
      <c r="P53" s="24">
        <f t="shared" si="3"/>
        <v>0</v>
      </c>
      <c r="Q53" s="25">
        <f t="shared" si="4"/>
        <v>1</v>
      </c>
      <c r="R53" s="26"/>
    </row>
    <row r="54" spans="1:18" ht="25.5" customHeight="1" x14ac:dyDescent="0.35">
      <c r="A54" s="21">
        <v>50</v>
      </c>
      <c r="B54" s="22" t="s">
        <v>663</v>
      </c>
      <c r="C54" s="14" t="s">
        <v>665</v>
      </c>
      <c r="D54" s="23" t="s">
        <v>31</v>
      </c>
      <c r="E54" s="23" t="s">
        <v>31</v>
      </c>
      <c r="F54" s="23" t="s">
        <v>31</v>
      </c>
      <c r="G54" s="23" t="s">
        <v>31</v>
      </c>
      <c r="H54" s="23" t="s">
        <v>31</v>
      </c>
      <c r="I54" s="23" t="s">
        <v>31</v>
      </c>
      <c r="J54" s="23" t="s">
        <v>31</v>
      </c>
      <c r="K54" s="23" t="s">
        <v>31</v>
      </c>
      <c r="L54" s="23" t="s">
        <v>31</v>
      </c>
      <c r="M54" s="24">
        <f t="shared" si="0"/>
        <v>9</v>
      </c>
      <c r="N54" s="24">
        <f t="shared" si="1"/>
        <v>0</v>
      </c>
      <c r="O54" s="24">
        <f t="shared" si="2"/>
        <v>0</v>
      </c>
      <c r="P54" s="24">
        <f t="shared" si="3"/>
        <v>0</v>
      </c>
      <c r="Q54" s="25">
        <f t="shared" si="4"/>
        <v>1</v>
      </c>
      <c r="R54" s="26"/>
    </row>
    <row r="55" spans="1:18" ht="25.5" customHeight="1" x14ac:dyDescent="0.35">
      <c r="A55" s="21">
        <v>51</v>
      </c>
      <c r="B55" s="22" t="s">
        <v>663</v>
      </c>
      <c r="C55" s="14" t="s">
        <v>666</v>
      </c>
      <c r="D55" s="23" t="s">
        <v>31</v>
      </c>
      <c r="E55" s="23" t="s">
        <v>31</v>
      </c>
      <c r="F55" s="23" t="s">
        <v>31</v>
      </c>
      <c r="G55" s="23" t="s">
        <v>33</v>
      </c>
      <c r="H55" s="23" t="s">
        <v>33</v>
      </c>
      <c r="I55" s="23" t="s">
        <v>31</v>
      </c>
      <c r="J55" s="23" t="s">
        <v>31</v>
      </c>
      <c r="K55" s="23" t="s">
        <v>31</v>
      </c>
      <c r="L55" s="23" t="s">
        <v>33</v>
      </c>
      <c r="M55" s="24">
        <f t="shared" si="0"/>
        <v>6</v>
      </c>
      <c r="N55" s="24">
        <f t="shared" si="1"/>
        <v>3</v>
      </c>
      <c r="O55" s="24">
        <f t="shared" si="2"/>
        <v>0</v>
      </c>
      <c r="P55" s="24">
        <f t="shared" si="3"/>
        <v>0</v>
      </c>
      <c r="Q55" s="25">
        <f t="shared" si="4"/>
        <v>0.83333333333333337</v>
      </c>
      <c r="R55" s="26" t="s">
        <v>667</v>
      </c>
    </row>
    <row r="56" spans="1:18" ht="25.5" customHeight="1" x14ac:dyDescent="0.35">
      <c r="A56" s="21">
        <v>52</v>
      </c>
      <c r="B56" s="22" t="s">
        <v>663</v>
      </c>
      <c r="C56" s="14" t="s">
        <v>668</v>
      </c>
      <c r="D56" s="23" t="s">
        <v>616</v>
      </c>
      <c r="E56" s="23" t="s">
        <v>613</v>
      </c>
      <c r="F56" s="23" t="s">
        <v>35</v>
      </c>
      <c r="G56" s="23" t="s">
        <v>35</v>
      </c>
      <c r="H56" s="23" t="s">
        <v>35</v>
      </c>
      <c r="I56" s="23" t="s">
        <v>37</v>
      </c>
      <c r="J56" s="23" t="s">
        <v>613</v>
      </c>
      <c r="K56" s="23" t="s">
        <v>35</v>
      </c>
      <c r="L56" s="23" t="s">
        <v>35</v>
      </c>
      <c r="M56" s="24">
        <f t="shared" si="0"/>
        <v>2</v>
      </c>
      <c r="N56" s="24">
        <f t="shared" si="1"/>
        <v>1</v>
      </c>
      <c r="O56" s="24">
        <f t="shared" si="2"/>
        <v>5</v>
      </c>
      <c r="P56" s="24">
        <f t="shared" si="3"/>
        <v>1</v>
      </c>
      <c r="Q56" s="25">
        <f t="shared" si="4"/>
        <v>0.27777777777777779</v>
      </c>
      <c r="R56" s="26" t="s">
        <v>669</v>
      </c>
    </row>
    <row r="57" spans="1:18" ht="25.5" customHeight="1" x14ac:dyDescent="0.35">
      <c r="A57" s="21">
        <v>53</v>
      </c>
      <c r="B57" s="22" t="s">
        <v>663</v>
      </c>
      <c r="C57" s="14" t="s">
        <v>670</v>
      </c>
      <c r="D57" s="23" t="s">
        <v>33</v>
      </c>
      <c r="E57" s="23" t="s">
        <v>613</v>
      </c>
      <c r="F57" s="23" t="s">
        <v>35</v>
      </c>
      <c r="G57" s="23" t="s">
        <v>35</v>
      </c>
      <c r="H57" s="23" t="s">
        <v>35</v>
      </c>
      <c r="I57" s="23" t="s">
        <v>37</v>
      </c>
      <c r="J57" s="23" t="s">
        <v>613</v>
      </c>
      <c r="K57" s="23" t="s">
        <v>35</v>
      </c>
      <c r="L57" s="23" t="s">
        <v>35</v>
      </c>
      <c r="M57" s="24">
        <f t="shared" si="0"/>
        <v>2</v>
      </c>
      <c r="N57" s="24">
        <f t="shared" si="1"/>
        <v>1</v>
      </c>
      <c r="O57" s="24">
        <f t="shared" si="2"/>
        <v>5</v>
      </c>
      <c r="P57" s="24">
        <f t="shared" si="3"/>
        <v>1</v>
      </c>
      <c r="Q57" s="25">
        <f t="shared" si="4"/>
        <v>0.27777777777777779</v>
      </c>
      <c r="R57" s="26" t="s">
        <v>671</v>
      </c>
    </row>
    <row r="58" spans="1:18" ht="25.5" customHeight="1" x14ac:dyDescent="0.35">
      <c r="A58" s="21">
        <v>54</v>
      </c>
      <c r="B58" s="22" t="s">
        <v>663</v>
      </c>
      <c r="C58" s="14" t="s">
        <v>672</v>
      </c>
      <c r="D58" s="23" t="s">
        <v>33</v>
      </c>
      <c r="E58" s="23" t="s">
        <v>35</v>
      </c>
      <c r="F58" s="23" t="s">
        <v>35</v>
      </c>
      <c r="G58" s="23" t="s">
        <v>35</v>
      </c>
      <c r="H58" s="23" t="s">
        <v>35</v>
      </c>
      <c r="I58" s="23" t="s">
        <v>35</v>
      </c>
      <c r="J58" s="23" t="s">
        <v>35</v>
      </c>
      <c r="K58" s="23" t="s">
        <v>35</v>
      </c>
      <c r="L58" s="23" t="s">
        <v>35</v>
      </c>
      <c r="M58" s="24">
        <f t="shared" si="0"/>
        <v>0</v>
      </c>
      <c r="N58" s="24">
        <f t="shared" si="1"/>
        <v>1</v>
      </c>
      <c r="O58" s="24">
        <f t="shared" si="2"/>
        <v>8</v>
      </c>
      <c r="P58" s="24">
        <f t="shared" si="3"/>
        <v>0</v>
      </c>
      <c r="Q58" s="25">
        <f t="shared" si="4"/>
        <v>5.5555555555555552E-2</v>
      </c>
      <c r="R58" s="26" t="s">
        <v>673</v>
      </c>
    </row>
    <row r="59" spans="1:18" ht="25.5" customHeight="1" x14ac:dyDescent="0.35">
      <c r="A59" s="21">
        <v>55</v>
      </c>
      <c r="B59" s="22" t="s">
        <v>663</v>
      </c>
      <c r="C59" s="14" t="s">
        <v>674</v>
      </c>
      <c r="D59" s="23" t="s">
        <v>613</v>
      </c>
      <c r="E59" s="23" t="s">
        <v>613</v>
      </c>
      <c r="F59" s="23" t="s">
        <v>613</v>
      </c>
      <c r="G59" s="23" t="s">
        <v>33</v>
      </c>
      <c r="H59" s="23" t="s">
        <v>35</v>
      </c>
      <c r="I59" s="23" t="s">
        <v>613</v>
      </c>
      <c r="J59" s="23" t="s">
        <v>613</v>
      </c>
      <c r="K59" s="23" t="s">
        <v>613</v>
      </c>
      <c r="L59" s="23" t="s">
        <v>613</v>
      </c>
      <c r="M59" s="24">
        <f t="shared" si="0"/>
        <v>7</v>
      </c>
      <c r="N59" s="24">
        <f t="shared" si="1"/>
        <v>1</v>
      </c>
      <c r="O59" s="24">
        <f t="shared" si="2"/>
        <v>1</v>
      </c>
      <c r="P59" s="24">
        <f t="shared" si="3"/>
        <v>0</v>
      </c>
      <c r="Q59" s="25">
        <f t="shared" si="4"/>
        <v>0.83333333333333337</v>
      </c>
      <c r="R59" s="26" t="s">
        <v>675</v>
      </c>
    </row>
    <row r="60" spans="1:18" ht="25.5" customHeight="1" x14ac:dyDescent="0.35">
      <c r="A60" s="21">
        <v>56</v>
      </c>
      <c r="B60" s="22" t="s">
        <v>663</v>
      </c>
      <c r="C60" s="14" t="s">
        <v>676</v>
      </c>
      <c r="D60" s="23" t="s">
        <v>613</v>
      </c>
      <c r="E60" s="23" t="s">
        <v>613</v>
      </c>
      <c r="F60" s="23" t="s">
        <v>613</v>
      </c>
      <c r="G60" s="23" t="s">
        <v>35</v>
      </c>
      <c r="H60" s="23" t="s">
        <v>35</v>
      </c>
      <c r="I60" s="23" t="s">
        <v>37</v>
      </c>
      <c r="J60" s="23" t="s">
        <v>37</v>
      </c>
      <c r="K60" s="23" t="s">
        <v>33</v>
      </c>
      <c r="L60" s="23" t="s">
        <v>35</v>
      </c>
      <c r="M60" s="24">
        <f t="shared" si="0"/>
        <v>3</v>
      </c>
      <c r="N60" s="24">
        <f t="shared" si="1"/>
        <v>1</v>
      </c>
      <c r="O60" s="24">
        <f t="shared" si="2"/>
        <v>3</v>
      </c>
      <c r="P60" s="24">
        <f t="shared" si="3"/>
        <v>2</v>
      </c>
      <c r="Q60" s="25">
        <f t="shared" si="4"/>
        <v>0.3888888888888889</v>
      </c>
      <c r="R60" s="26" t="s">
        <v>677</v>
      </c>
    </row>
    <row r="61" spans="1:18" ht="25.5" customHeight="1" x14ac:dyDescent="0.35">
      <c r="A61" s="21">
        <v>57</v>
      </c>
      <c r="B61" s="22" t="s">
        <v>663</v>
      </c>
      <c r="C61" s="14" t="s">
        <v>678</v>
      </c>
      <c r="D61" s="23" t="s">
        <v>613</v>
      </c>
      <c r="E61" s="23" t="s">
        <v>613</v>
      </c>
      <c r="F61" s="23" t="s">
        <v>613</v>
      </c>
      <c r="G61" s="23" t="s">
        <v>33</v>
      </c>
      <c r="H61" s="23" t="s">
        <v>35</v>
      </c>
      <c r="I61" s="23" t="s">
        <v>613</v>
      </c>
      <c r="J61" s="23" t="s">
        <v>613</v>
      </c>
      <c r="K61" s="23" t="s">
        <v>613</v>
      </c>
      <c r="L61" s="23" t="s">
        <v>613</v>
      </c>
      <c r="M61" s="24">
        <f t="shared" si="0"/>
        <v>7</v>
      </c>
      <c r="N61" s="24">
        <f t="shared" si="1"/>
        <v>1</v>
      </c>
      <c r="O61" s="24">
        <f t="shared" si="2"/>
        <v>1</v>
      </c>
      <c r="P61" s="24">
        <f t="shared" si="3"/>
        <v>0</v>
      </c>
      <c r="Q61" s="25">
        <f t="shared" si="4"/>
        <v>0.83333333333333337</v>
      </c>
      <c r="R61" s="26" t="s">
        <v>679</v>
      </c>
    </row>
    <row r="62" spans="1:18" ht="25.5" customHeight="1" x14ac:dyDescent="0.35">
      <c r="A62" s="21">
        <v>58</v>
      </c>
      <c r="B62" s="22" t="s">
        <v>663</v>
      </c>
      <c r="C62" s="14" t="s">
        <v>680</v>
      </c>
      <c r="D62" s="23" t="s">
        <v>616</v>
      </c>
      <c r="E62" s="23" t="s">
        <v>613</v>
      </c>
      <c r="F62" s="23" t="s">
        <v>613</v>
      </c>
      <c r="G62" s="23" t="s">
        <v>35</v>
      </c>
      <c r="H62" s="23" t="s">
        <v>35</v>
      </c>
      <c r="I62" s="23" t="s">
        <v>613</v>
      </c>
      <c r="J62" s="23" t="s">
        <v>616</v>
      </c>
      <c r="K62" s="23" t="s">
        <v>616</v>
      </c>
      <c r="L62" s="23" t="s">
        <v>37</v>
      </c>
      <c r="M62" s="24">
        <f t="shared" si="0"/>
        <v>3</v>
      </c>
      <c r="N62" s="24">
        <f t="shared" si="1"/>
        <v>3</v>
      </c>
      <c r="O62" s="24">
        <f t="shared" si="2"/>
        <v>2</v>
      </c>
      <c r="P62" s="24">
        <f t="shared" si="3"/>
        <v>1</v>
      </c>
      <c r="Q62" s="25">
        <f t="shared" si="4"/>
        <v>0.5</v>
      </c>
      <c r="R62" s="26"/>
    </row>
    <row r="63" spans="1:18" ht="25.5" customHeight="1" x14ac:dyDescent="0.35">
      <c r="A63" s="21">
        <v>59</v>
      </c>
      <c r="B63" s="22" t="s">
        <v>663</v>
      </c>
      <c r="C63" s="14" t="s">
        <v>681</v>
      </c>
      <c r="D63" s="23" t="s">
        <v>613</v>
      </c>
      <c r="E63" s="23" t="s">
        <v>613</v>
      </c>
      <c r="F63" s="23" t="s">
        <v>613</v>
      </c>
      <c r="G63" s="23" t="s">
        <v>33</v>
      </c>
      <c r="H63" s="23" t="s">
        <v>35</v>
      </c>
      <c r="I63" s="23" t="s">
        <v>613</v>
      </c>
      <c r="J63" s="23" t="s">
        <v>613</v>
      </c>
      <c r="K63" s="23" t="s">
        <v>613</v>
      </c>
      <c r="L63" s="23" t="s">
        <v>613</v>
      </c>
      <c r="M63" s="24">
        <f t="shared" si="0"/>
        <v>7</v>
      </c>
      <c r="N63" s="24">
        <f t="shared" si="1"/>
        <v>1</v>
      </c>
      <c r="O63" s="24">
        <f t="shared" si="2"/>
        <v>1</v>
      </c>
      <c r="P63" s="24">
        <f t="shared" si="3"/>
        <v>0</v>
      </c>
      <c r="Q63" s="25">
        <f t="shared" si="4"/>
        <v>0.83333333333333337</v>
      </c>
      <c r="R63" s="26"/>
    </row>
    <row r="64" spans="1:18" ht="25.5" customHeight="1" x14ac:dyDescent="0.35">
      <c r="A64" s="21">
        <v>60</v>
      </c>
      <c r="B64" s="22" t="s">
        <v>663</v>
      </c>
      <c r="C64" s="14" t="s">
        <v>682</v>
      </c>
      <c r="D64" s="23" t="s">
        <v>33</v>
      </c>
      <c r="E64" s="23" t="s">
        <v>33</v>
      </c>
      <c r="F64" s="23" t="s">
        <v>33</v>
      </c>
      <c r="G64" s="23" t="s">
        <v>35</v>
      </c>
      <c r="H64" s="23" t="s">
        <v>683</v>
      </c>
      <c r="I64" s="23" t="s">
        <v>37</v>
      </c>
      <c r="J64" s="23" t="s">
        <v>33</v>
      </c>
      <c r="K64" s="23" t="s">
        <v>33</v>
      </c>
      <c r="L64" s="23" t="s">
        <v>37</v>
      </c>
      <c r="M64" s="24">
        <f t="shared" si="0"/>
        <v>1</v>
      </c>
      <c r="N64" s="24">
        <f t="shared" si="1"/>
        <v>5</v>
      </c>
      <c r="O64" s="24">
        <f t="shared" si="2"/>
        <v>1</v>
      </c>
      <c r="P64" s="24">
        <f t="shared" si="3"/>
        <v>2</v>
      </c>
      <c r="Q64" s="25">
        <f t="shared" si="4"/>
        <v>0.3888888888888889</v>
      </c>
      <c r="R64" s="26" t="s">
        <v>684</v>
      </c>
    </row>
    <row r="65" spans="1:18" ht="25.5" customHeight="1" x14ac:dyDescent="0.35">
      <c r="A65" s="21">
        <v>61</v>
      </c>
      <c r="B65" s="22" t="s">
        <v>663</v>
      </c>
      <c r="C65" s="14" t="s">
        <v>685</v>
      </c>
      <c r="D65" s="23" t="s">
        <v>33</v>
      </c>
      <c r="E65" s="23" t="s">
        <v>31</v>
      </c>
      <c r="F65" s="23" t="s">
        <v>37</v>
      </c>
      <c r="G65" s="23" t="s">
        <v>35</v>
      </c>
      <c r="H65" s="23" t="s">
        <v>683</v>
      </c>
      <c r="I65" s="23" t="s">
        <v>31</v>
      </c>
      <c r="J65" s="23" t="s">
        <v>31</v>
      </c>
      <c r="K65" s="23" t="s">
        <v>33</v>
      </c>
      <c r="L65" s="23" t="s">
        <v>37</v>
      </c>
      <c r="M65" s="24">
        <f t="shared" si="0"/>
        <v>4</v>
      </c>
      <c r="N65" s="24">
        <f t="shared" si="1"/>
        <v>2</v>
      </c>
      <c r="O65" s="24">
        <f t="shared" si="2"/>
        <v>1</v>
      </c>
      <c r="P65" s="24">
        <f t="shared" si="3"/>
        <v>2</v>
      </c>
      <c r="Q65" s="25">
        <f t="shared" si="4"/>
        <v>0.55555555555555558</v>
      </c>
      <c r="R65" s="26" t="s">
        <v>686</v>
      </c>
    </row>
    <row r="66" spans="1:18" ht="25.5" customHeight="1" x14ac:dyDescent="0.35">
      <c r="A66" s="21">
        <v>62</v>
      </c>
      <c r="B66" s="22" t="s">
        <v>663</v>
      </c>
      <c r="C66" s="14" t="s">
        <v>687</v>
      </c>
      <c r="D66" s="23" t="s">
        <v>35</v>
      </c>
      <c r="E66" s="23" t="s">
        <v>33</v>
      </c>
      <c r="F66" s="23" t="s">
        <v>35</v>
      </c>
      <c r="G66" s="23" t="s">
        <v>35</v>
      </c>
      <c r="H66" s="23" t="s">
        <v>683</v>
      </c>
      <c r="I66" s="23" t="s">
        <v>33</v>
      </c>
      <c r="J66" s="23" t="s">
        <v>37</v>
      </c>
      <c r="K66" s="23" t="s">
        <v>33</v>
      </c>
      <c r="L66" s="23" t="s">
        <v>35</v>
      </c>
      <c r="M66" s="24">
        <f t="shared" si="0"/>
        <v>1</v>
      </c>
      <c r="N66" s="24">
        <f t="shared" si="1"/>
        <v>3</v>
      </c>
      <c r="O66" s="24">
        <f t="shared" si="2"/>
        <v>4</v>
      </c>
      <c r="P66" s="24">
        <f t="shared" si="3"/>
        <v>1</v>
      </c>
      <c r="Q66" s="25">
        <f t="shared" si="4"/>
        <v>0.27777777777777779</v>
      </c>
      <c r="R66" s="26" t="s">
        <v>688</v>
      </c>
    </row>
    <row r="67" spans="1:18" ht="25.5" customHeight="1" x14ac:dyDescent="0.35">
      <c r="A67" s="21">
        <v>63</v>
      </c>
      <c r="B67" s="22" t="s">
        <v>663</v>
      </c>
      <c r="C67" s="14" t="s">
        <v>689</v>
      </c>
      <c r="D67" s="23" t="s">
        <v>33</v>
      </c>
      <c r="E67" s="23" t="s">
        <v>31</v>
      </c>
      <c r="F67" s="23" t="s">
        <v>33</v>
      </c>
      <c r="G67" s="23" t="s">
        <v>35</v>
      </c>
      <c r="H67" s="23" t="s">
        <v>683</v>
      </c>
      <c r="I67" s="23" t="s">
        <v>31</v>
      </c>
      <c r="J67" s="23" t="s">
        <v>33</v>
      </c>
      <c r="K67" s="23" t="s">
        <v>33</v>
      </c>
      <c r="L67" s="23" t="s">
        <v>35</v>
      </c>
      <c r="M67" s="24">
        <f t="shared" si="0"/>
        <v>3</v>
      </c>
      <c r="N67" s="24">
        <f t="shared" si="1"/>
        <v>4</v>
      </c>
      <c r="O67" s="24">
        <f t="shared" si="2"/>
        <v>2</v>
      </c>
      <c r="P67" s="24">
        <f t="shared" si="3"/>
        <v>0</v>
      </c>
      <c r="Q67" s="25">
        <f t="shared" si="4"/>
        <v>0.55555555555555558</v>
      </c>
      <c r="R67" s="26" t="s">
        <v>690</v>
      </c>
    </row>
    <row r="68" spans="1:18" ht="25.5" customHeight="1" x14ac:dyDescent="0.35">
      <c r="A68" s="21">
        <v>64</v>
      </c>
      <c r="B68" s="22" t="s">
        <v>663</v>
      </c>
      <c r="C68" s="14" t="s">
        <v>691</v>
      </c>
      <c r="D68" s="23" t="s">
        <v>33</v>
      </c>
      <c r="E68" s="23" t="s">
        <v>31</v>
      </c>
      <c r="F68" s="23" t="s">
        <v>31</v>
      </c>
      <c r="G68" s="23" t="s">
        <v>31</v>
      </c>
      <c r="H68" s="23" t="s">
        <v>35</v>
      </c>
      <c r="I68" s="23" t="s">
        <v>31</v>
      </c>
      <c r="J68" s="23" t="s">
        <v>33</v>
      </c>
      <c r="K68" s="23" t="s">
        <v>31</v>
      </c>
      <c r="L68" s="23" t="s">
        <v>33</v>
      </c>
      <c r="M68" s="24">
        <f t="shared" si="0"/>
        <v>5</v>
      </c>
      <c r="N68" s="24">
        <f t="shared" si="1"/>
        <v>3</v>
      </c>
      <c r="O68" s="24">
        <f t="shared" si="2"/>
        <v>1</v>
      </c>
      <c r="P68" s="24">
        <f t="shared" si="3"/>
        <v>0</v>
      </c>
      <c r="Q68" s="25">
        <f t="shared" si="4"/>
        <v>0.72222222222222221</v>
      </c>
      <c r="R68" s="26" t="s">
        <v>692</v>
      </c>
    </row>
    <row r="69" spans="1:18" ht="25.5" customHeight="1" x14ac:dyDescent="0.35">
      <c r="A69" s="21">
        <v>65</v>
      </c>
      <c r="B69" s="22" t="s">
        <v>663</v>
      </c>
      <c r="C69" s="14" t="s">
        <v>693</v>
      </c>
      <c r="D69" s="23" t="s">
        <v>616</v>
      </c>
      <c r="E69" s="23" t="s">
        <v>613</v>
      </c>
      <c r="F69" s="23" t="s">
        <v>33</v>
      </c>
      <c r="G69" s="23" t="s">
        <v>35</v>
      </c>
      <c r="H69" s="23" t="s">
        <v>683</v>
      </c>
      <c r="I69" s="23" t="s">
        <v>613</v>
      </c>
      <c r="J69" s="23" t="s">
        <v>613</v>
      </c>
      <c r="K69" s="23" t="s">
        <v>33</v>
      </c>
      <c r="L69" s="23" t="s">
        <v>613</v>
      </c>
      <c r="M69" s="24">
        <f t="shared" ref="M69:M132" si="5">SUMPRODUCT(--ISNUMBER(SEARCH("✓",D69:L69)))</f>
        <v>5</v>
      </c>
      <c r="N69" s="24">
        <f t="shared" ref="N69:N132" si="6">SUMPRODUCT(--ISNUMBER(SEARCH("◐",D69:L69)))</f>
        <v>3</v>
      </c>
      <c r="O69" s="24">
        <f t="shared" ref="O69:O132" si="7">SUMPRODUCT(--ISNUMBER(SEARCH("—",D69:L69)))</f>
        <v>1</v>
      </c>
      <c r="P69" s="24">
        <f t="shared" ref="P69:P132" si="8">9-M69-N69-O69</f>
        <v>0</v>
      </c>
      <c r="Q69" s="25">
        <f t="shared" ref="Q69:Q132" si="9">(M69+0.5*N69)/9</f>
        <v>0.72222222222222221</v>
      </c>
      <c r="R69" s="26" t="s">
        <v>694</v>
      </c>
    </row>
    <row r="70" spans="1:18" ht="25.5" customHeight="1" x14ac:dyDescent="0.35">
      <c r="A70" s="21">
        <v>66</v>
      </c>
      <c r="B70" s="22" t="s">
        <v>663</v>
      </c>
      <c r="C70" s="14" t="s">
        <v>695</v>
      </c>
      <c r="D70" s="23" t="s">
        <v>33</v>
      </c>
      <c r="E70" s="23" t="s">
        <v>31</v>
      </c>
      <c r="F70" s="23" t="s">
        <v>33</v>
      </c>
      <c r="G70" s="23" t="s">
        <v>33</v>
      </c>
      <c r="H70" s="23" t="s">
        <v>683</v>
      </c>
      <c r="I70" s="23" t="s">
        <v>31</v>
      </c>
      <c r="J70" s="23" t="s">
        <v>31</v>
      </c>
      <c r="K70" s="23" t="s">
        <v>33</v>
      </c>
      <c r="L70" s="23" t="s">
        <v>33</v>
      </c>
      <c r="M70" s="24">
        <f t="shared" si="5"/>
        <v>4</v>
      </c>
      <c r="N70" s="24">
        <f t="shared" si="6"/>
        <v>5</v>
      </c>
      <c r="O70" s="24">
        <f t="shared" si="7"/>
        <v>0</v>
      </c>
      <c r="P70" s="24">
        <f t="shared" si="8"/>
        <v>0</v>
      </c>
      <c r="Q70" s="25">
        <f t="shared" si="9"/>
        <v>0.72222222222222221</v>
      </c>
      <c r="R70" s="26" t="s">
        <v>696</v>
      </c>
    </row>
    <row r="71" spans="1:18" ht="25.5" customHeight="1" x14ac:dyDescent="0.35">
      <c r="A71" s="21">
        <v>67</v>
      </c>
      <c r="B71" s="22" t="s">
        <v>663</v>
      </c>
      <c r="C71" s="14" t="s">
        <v>697</v>
      </c>
      <c r="D71" s="23" t="s">
        <v>35</v>
      </c>
      <c r="E71" s="23" t="s">
        <v>33</v>
      </c>
      <c r="F71" s="23" t="s">
        <v>35</v>
      </c>
      <c r="G71" s="23" t="s">
        <v>35</v>
      </c>
      <c r="H71" s="23" t="s">
        <v>683</v>
      </c>
      <c r="I71" s="23" t="s">
        <v>31</v>
      </c>
      <c r="J71" s="23" t="s">
        <v>37</v>
      </c>
      <c r="K71" s="23" t="s">
        <v>35</v>
      </c>
      <c r="L71" s="23" t="s">
        <v>35</v>
      </c>
      <c r="M71" s="24">
        <f t="shared" si="5"/>
        <v>2</v>
      </c>
      <c r="N71" s="24">
        <f t="shared" si="6"/>
        <v>1</v>
      </c>
      <c r="O71" s="24">
        <f t="shared" si="7"/>
        <v>5</v>
      </c>
      <c r="P71" s="24">
        <f t="shared" si="8"/>
        <v>1</v>
      </c>
      <c r="Q71" s="25">
        <f t="shared" si="9"/>
        <v>0.27777777777777779</v>
      </c>
      <c r="R71" s="26"/>
    </row>
    <row r="72" spans="1:18" ht="25.5" customHeight="1" x14ac:dyDescent="0.35">
      <c r="A72" s="21">
        <v>68</v>
      </c>
      <c r="B72" s="22" t="s">
        <v>663</v>
      </c>
      <c r="C72" s="14" t="s">
        <v>698</v>
      </c>
      <c r="D72" s="23" t="s">
        <v>31</v>
      </c>
      <c r="E72" s="23" t="s">
        <v>31</v>
      </c>
      <c r="F72" s="23" t="s">
        <v>31</v>
      </c>
      <c r="G72" s="23" t="s">
        <v>31</v>
      </c>
      <c r="H72" s="23" t="s">
        <v>683</v>
      </c>
      <c r="I72" s="23" t="s">
        <v>31</v>
      </c>
      <c r="J72" s="23" t="s">
        <v>31</v>
      </c>
      <c r="K72" s="23" t="s">
        <v>31</v>
      </c>
      <c r="L72" s="23" t="s">
        <v>31</v>
      </c>
      <c r="M72" s="24">
        <f t="shared" si="5"/>
        <v>9</v>
      </c>
      <c r="N72" s="24">
        <f t="shared" si="6"/>
        <v>0</v>
      </c>
      <c r="O72" s="24">
        <f t="shared" si="7"/>
        <v>0</v>
      </c>
      <c r="P72" s="24">
        <f t="shared" si="8"/>
        <v>0</v>
      </c>
      <c r="Q72" s="25">
        <f t="shared" si="9"/>
        <v>1</v>
      </c>
      <c r="R72" s="26"/>
    </row>
    <row r="73" spans="1:18" ht="25.5" customHeight="1" x14ac:dyDescent="0.35">
      <c r="A73" s="21">
        <v>69</v>
      </c>
      <c r="B73" s="22" t="s">
        <v>663</v>
      </c>
      <c r="C73" s="14" t="s">
        <v>699</v>
      </c>
      <c r="D73" s="23" t="s">
        <v>33</v>
      </c>
      <c r="E73" s="23" t="s">
        <v>31</v>
      </c>
      <c r="F73" s="23" t="s">
        <v>33</v>
      </c>
      <c r="G73" s="23" t="s">
        <v>31</v>
      </c>
      <c r="H73" s="23" t="s">
        <v>683</v>
      </c>
      <c r="I73" s="23" t="s">
        <v>31</v>
      </c>
      <c r="J73" s="23" t="s">
        <v>31</v>
      </c>
      <c r="K73" s="23" t="s">
        <v>33</v>
      </c>
      <c r="L73" s="23" t="s">
        <v>31</v>
      </c>
      <c r="M73" s="24">
        <f t="shared" si="5"/>
        <v>6</v>
      </c>
      <c r="N73" s="24">
        <f t="shared" si="6"/>
        <v>3</v>
      </c>
      <c r="O73" s="24">
        <f t="shared" si="7"/>
        <v>0</v>
      </c>
      <c r="P73" s="24">
        <f t="shared" si="8"/>
        <v>0</v>
      </c>
      <c r="Q73" s="25">
        <f t="shared" si="9"/>
        <v>0.83333333333333337</v>
      </c>
      <c r="R73" s="26"/>
    </row>
    <row r="74" spans="1:18" ht="25.5" customHeight="1" x14ac:dyDescent="0.35">
      <c r="A74" s="21">
        <v>70</v>
      </c>
      <c r="B74" s="22" t="s">
        <v>663</v>
      </c>
      <c r="C74" s="14" t="s">
        <v>700</v>
      </c>
      <c r="D74" s="23" t="s">
        <v>33</v>
      </c>
      <c r="E74" s="23" t="s">
        <v>33</v>
      </c>
      <c r="F74" s="23" t="s">
        <v>35</v>
      </c>
      <c r="G74" s="23" t="s">
        <v>31</v>
      </c>
      <c r="H74" s="23" t="s">
        <v>33</v>
      </c>
      <c r="I74" s="23" t="s">
        <v>31</v>
      </c>
      <c r="J74" s="23" t="s">
        <v>31</v>
      </c>
      <c r="K74" s="23" t="s">
        <v>33</v>
      </c>
      <c r="L74" s="23" t="s">
        <v>33</v>
      </c>
      <c r="M74" s="24">
        <f t="shared" si="5"/>
        <v>3</v>
      </c>
      <c r="N74" s="24">
        <f t="shared" si="6"/>
        <v>5</v>
      </c>
      <c r="O74" s="24">
        <f t="shared" si="7"/>
        <v>1</v>
      </c>
      <c r="P74" s="24">
        <f t="shared" si="8"/>
        <v>0</v>
      </c>
      <c r="Q74" s="25">
        <f t="shared" si="9"/>
        <v>0.61111111111111116</v>
      </c>
      <c r="R74" s="26" t="s">
        <v>701</v>
      </c>
    </row>
    <row r="75" spans="1:18" ht="25.5" customHeight="1" x14ac:dyDescent="0.35">
      <c r="A75" s="21">
        <v>71</v>
      </c>
      <c r="B75" s="22" t="s">
        <v>663</v>
      </c>
      <c r="C75" s="14" t="s">
        <v>702</v>
      </c>
      <c r="D75" s="23" t="s">
        <v>33</v>
      </c>
      <c r="E75" s="23" t="s">
        <v>613</v>
      </c>
      <c r="F75" s="23" t="s">
        <v>33</v>
      </c>
      <c r="G75" s="23" t="s">
        <v>35</v>
      </c>
      <c r="H75" s="23" t="s">
        <v>35</v>
      </c>
      <c r="I75" s="23" t="s">
        <v>37</v>
      </c>
      <c r="J75" s="23" t="s">
        <v>31</v>
      </c>
      <c r="K75" s="23" t="s">
        <v>33</v>
      </c>
      <c r="L75" s="23" t="s">
        <v>37</v>
      </c>
      <c r="M75" s="24">
        <f t="shared" si="5"/>
        <v>2</v>
      </c>
      <c r="N75" s="24">
        <f t="shared" si="6"/>
        <v>3</v>
      </c>
      <c r="O75" s="24">
        <f t="shared" si="7"/>
        <v>2</v>
      </c>
      <c r="P75" s="24">
        <f t="shared" si="8"/>
        <v>2</v>
      </c>
      <c r="Q75" s="25">
        <f t="shared" si="9"/>
        <v>0.3888888888888889</v>
      </c>
      <c r="R75" s="26" t="s">
        <v>703</v>
      </c>
    </row>
    <row r="76" spans="1:18" ht="25.5" customHeight="1" x14ac:dyDescent="0.35">
      <c r="A76" s="21">
        <v>72</v>
      </c>
      <c r="B76" s="22" t="s">
        <v>663</v>
      </c>
      <c r="C76" s="14" t="s">
        <v>704</v>
      </c>
      <c r="D76" s="23" t="s">
        <v>31</v>
      </c>
      <c r="E76" s="23" t="s">
        <v>31</v>
      </c>
      <c r="F76" s="23" t="s">
        <v>31</v>
      </c>
      <c r="G76" s="23" t="s">
        <v>33</v>
      </c>
      <c r="H76" s="23" t="s">
        <v>33</v>
      </c>
      <c r="I76" s="23" t="s">
        <v>31</v>
      </c>
      <c r="J76" s="23" t="s">
        <v>31</v>
      </c>
      <c r="K76" s="23" t="s">
        <v>31</v>
      </c>
      <c r="L76" s="23" t="s">
        <v>35</v>
      </c>
      <c r="M76" s="24">
        <f t="shared" si="5"/>
        <v>6</v>
      </c>
      <c r="N76" s="24">
        <f t="shared" si="6"/>
        <v>2</v>
      </c>
      <c r="O76" s="24">
        <f t="shared" si="7"/>
        <v>1</v>
      </c>
      <c r="P76" s="24">
        <f t="shared" si="8"/>
        <v>0</v>
      </c>
      <c r="Q76" s="25">
        <f t="shared" si="9"/>
        <v>0.77777777777777779</v>
      </c>
      <c r="R76" s="26" t="s">
        <v>705</v>
      </c>
    </row>
    <row r="77" spans="1:18" ht="25.5" customHeight="1" x14ac:dyDescent="0.35">
      <c r="A77" s="21">
        <v>73</v>
      </c>
      <c r="B77" s="22" t="s">
        <v>663</v>
      </c>
      <c r="C77" s="14" t="s">
        <v>706</v>
      </c>
      <c r="D77" s="23" t="s">
        <v>31</v>
      </c>
      <c r="E77" s="23" t="s">
        <v>37</v>
      </c>
      <c r="F77" s="23" t="s">
        <v>33</v>
      </c>
      <c r="G77" s="23" t="s">
        <v>35</v>
      </c>
      <c r="H77" s="23" t="s">
        <v>35</v>
      </c>
      <c r="I77" s="23" t="s">
        <v>37</v>
      </c>
      <c r="J77" s="23" t="s">
        <v>35</v>
      </c>
      <c r="K77" s="23" t="s">
        <v>33</v>
      </c>
      <c r="L77" s="23" t="s">
        <v>35</v>
      </c>
      <c r="M77" s="24">
        <f t="shared" si="5"/>
        <v>1</v>
      </c>
      <c r="N77" s="24">
        <f t="shared" si="6"/>
        <v>2</v>
      </c>
      <c r="O77" s="24">
        <f t="shared" si="7"/>
        <v>4</v>
      </c>
      <c r="P77" s="24">
        <f t="shared" si="8"/>
        <v>2</v>
      </c>
      <c r="Q77" s="25">
        <f t="shared" si="9"/>
        <v>0.22222222222222221</v>
      </c>
      <c r="R77" s="26"/>
    </row>
    <row r="78" spans="1:18" ht="25.5" customHeight="1" x14ac:dyDescent="0.35">
      <c r="A78" s="21">
        <v>74</v>
      </c>
      <c r="B78" s="22" t="s">
        <v>663</v>
      </c>
      <c r="C78" s="14" t="s">
        <v>707</v>
      </c>
      <c r="D78" s="23" t="s">
        <v>31</v>
      </c>
      <c r="E78" s="23" t="s">
        <v>31</v>
      </c>
      <c r="F78" s="23" t="s">
        <v>31</v>
      </c>
      <c r="G78" s="23" t="s">
        <v>37</v>
      </c>
      <c r="H78" s="23" t="s">
        <v>33</v>
      </c>
      <c r="I78" s="23" t="s">
        <v>31</v>
      </c>
      <c r="J78" s="23" t="s">
        <v>31</v>
      </c>
      <c r="K78" s="23" t="s">
        <v>31</v>
      </c>
      <c r="L78" s="23" t="s">
        <v>33</v>
      </c>
      <c r="M78" s="24">
        <f t="shared" si="5"/>
        <v>6</v>
      </c>
      <c r="N78" s="24">
        <f t="shared" si="6"/>
        <v>2</v>
      </c>
      <c r="O78" s="24">
        <f t="shared" si="7"/>
        <v>0</v>
      </c>
      <c r="P78" s="24">
        <f t="shared" si="8"/>
        <v>1</v>
      </c>
      <c r="Q78" s="25">
        <f t="shared" si="9"/>
        <v>0.77777777777777779</v>
      </c>
      <c r="R78" s="26"/>
    </row>
    <row r="79" spans="1:18" ht="25.5" customHeight="1" x14ac:dyDescent="0.35">
      <c r="A79" s="21">
        <v>75</v>
      </c>
      <c r="B79" s="22" t="s">
        <v>663</v>
      </c>
      <c r="C79" s="14" t="s">
        <v>708</v>
      </c>
      <c r="D79" s="23" t="s">
        <v>37</v>
      </c>
      <c r="E79" s="23" t="s">
        <v>31</v>
      </c>
      <c r="F79" s="23" t="s">
        <v>31</v>
      </c>
      <c r="G79" s="23" t="s">
        <v>35</v>
      </c>
      <c r="H79" s="23" t="s">
        <v>35</v>
      </c>
      <c r="I79" s="23" t="s">
        <v>31</v>
      </c>
      <c r="J79" s="23" t="s">
        <v>31</v>
      </c>
      <c r="K79" s="23" t="s">
        <v>35</v>
      </c>
      <c r="L79" s="23" t="s">
        <v>35</v>
      </c>
      <c r="M79" s="24">
        <f t="shared" si="5"/>
        <v>4</v>
      </c>
      <c r="N79" s="24">
        <f t="shared" si="6"/>
        <v>0</v>
      </c>
      <c r="O79" s="24">
        <f t="shared" si="7"/>
        <v>4</v>
      </c>
      <c r="P79" s="24">
        <f t="shared" si="8"/>
        <v>1</v>
      </c>
      <c r="Q79" s="25">
        <f t="shared" si="9"/>
        <v>0.44444444444444442</v>
      </c>
      <c r="R79" s="26" t="s">
        <v>709</v>
      </c>
    </row>
    <row r="80" spans="1:18" ht="25.5" customHeight="1" x14ac:dyDescent="0.35">
      <c r="A80" s="21">
        <v>76</v>
      </c>
      <c r="B80" s="22" t="s">
        <v>663</v>
      </c>
      <c r="C80" s="14" t="s">
        <v>710</v>
      </c>
      <c r="D80" s="23" t="s">
        <v>35</v>
      </c>
      <c r="E80" s="23" t="s">
        <v>613</v>
      </c>
      <c r="F80" s="23" t="s">
        <v>35</v>
      </c>
      <c r="G80" s="23" t="s">
        <v>35</v>
      </c>
      <c r="H80" s="23" t="s">
        <v>35</v>
      </c>
      <c r="I80" s="23" t="s">
        <v>33</v>
      </c>
      <c r="J80" s="23" t="s">
        <v>35</v>
      </c>
      <c r="K80" s="23" t="s">
        <v>35</v>
      </c>
      <c r="L80" s="23" t="s">
        <v>35</v>
      </c>
      <c r="M80" s="24">
        <f t="shared" si="5"/>
        <v>1</v>
      </c>
      <c r="N80" s="24">
        <f t="shared" si="6"/>
        <v>1</v>
      </c>
      <c r="O80" s="24">
        <f t="shared" si="7"/>
        <v>7</v>
      </c>
      <c r="P80" s="24">
        <f t="shared" si="8"/>
        <v>0</v>
      </c>
      <c r="Q80" s="25">
        <f t="shared" si="9"/>
        <v>0.16666666666666666</v>
      </c>
      <c r="R80" s="26" t="s">
        <v>711</v>
      </c>
    </row>
    <row r="81" spans="1:18" ht="25.5" customHeight="1" x14ac:dyDescent="0.35">
      <c r="A81" s="21">
        <v>77</v>
      </c>
      <c r="B81" s="22" t="s">
        <v>663</v>
      </c>
      <c r="C81" s="14" t="s">
        <v>712</v>
      </c>
      <c r="D81" s="23" t="s">
        <v>33</v>
      </c>
      <c r="E81" s="23" t="s">
        <v>31</v>
      </c>
      <c r="F81" s="23" t="s">
        <v>33</v>
      </c>
      <c r="G81" s="23" t="s">
        <v>35</v>
      </c>
      <c r="H81" s="23" t="s">
        <v>35</v>
      </c>
      <c r="I81" s="23" t="s">
        <v>31</v>
      </c>
      <c r="J81" s="23" t="s">
        <v>33</v>
      </c>
      <c r="K81" s="23" t="s">
        <v>33</v>
      </c>
      <c r="L81" s="23" t="s">
        <v>35</v>
      </c>
      <c r="M81" s="24">
        <f t="shared" si="5"/>
        <v>2</v>
      </c>
      <c r="N81" s="24">
        <f t="shared" si="6"/>
        <v>4</v>
      </c>
      <c r="O81" s="24">
        <f t="shared" si="7"/>
        <v>3</v>
      </c>
      <c r="P81" s="24">
        <f t="shared" si="8"/>
        <v>0</v>
      </c>
      <c r="Q81" s="25">
        <f t="shared" si="9"/>
        <v>0.44444444444444442</v>
      </c>
      <c r="R81" s="26" t="s">
        <v>713</v>
      </c>
    </row>
    <row r="82" spans="1:18" ht="25.5" customHeight="1" x14ac:dyDescent="0.35">
      <c r="A82" s="21">
        <v>78</v>
      </c>
      <c r="B82" s="22" t="s">
        <v>663</v>
      </c>
      <c r="C82" s="14" t="s">
        <v>714</v>
      </c>
      <c r="D82" s="23" t="s">
        <v>35</v>
      </c>
      <c r="E82" s="23" t="s">
        <v>31</v>
      </c>
      <c r="F82" s="23" t="s">
        <v>33</v>
      </c>
      <c r="G82" s="23" t="s">
        <v>35</v>
      </c>
      <c r="H82" s="23" t="s">
        <v>35</v>
      </c>
      <c r="I82" s="23" t="s">
        <v>31</v>
      </c>
      <c r="J82" s="23" t="s">
        <v>35</v>
      </c>
      <c r="K82" s="23" t="s">
        <v>35</v>
      </c>
      <c r="L82" s="23" t="s">
        <v>35</v>
      </c>
      <c r="M82" s="24">
        <f t="shared" si="5"/>
        <v>2</v>
      </c>
      <c r="N82" s="24">
        <f t="shared" si="6"/>
        <v>1</v>
      </c>
      <c r="O82" s="24">
        <f t="shared" si="7"/>
        <v>6</v>
      </c>
      <c r="P82" s="24">
        <f t="shared" si="8"/>
        <v>0</v>
      </c>
      <c r="Q82" s="25">
        <f t="shared" si="9"/>
        <v>0.27777777777777779</v>
      </c>
      <c r="R82" s="26"/>
    </row>
    <row r="83" spans="1:18" ht="25.5" customHeight="1" x14ac:dyDescent="0.35">
      <c r="A83" s="21">
        <v>79</v>
      </c>
      <c r="B83" s="22" t="s">
        <v>663</v>
      </c>
      <c r="C83" s="14" t="s">
        <v>715</v>
      </c>
      <c r="D83" s="23" t="s">
        <v>35</v>
      </c>
      <c r="E83" s="23" t="s">
        <v>31</v>
      </c>
      <c r="F83" s="23" t="s">
        <v>35</v>
      </c>
      <c r="G83" s="23" t="s">
        <v>35</v>
      </c>
      <c r="H83" s="23" t="s">
        <v>35</v>
      </c>
      <c r="I83" s="23" t="s">
        <v>37</v>
      </c>
      <c r="J83" s="23" t="s">
        <v>35</v>
      </c>
      <c r="K83" s="23" t="s">
        <v>35</v>
      </c>
      <c r="L83" s="23" t="s">
        <v>35</v>
      </c>
      <c r="M83" s="24">
        <f t="shared" si="5"/>
        <v>1</v>
      </c>
      <c r="N83" s="24">
        <f t="shared" si="6"/>
        <v>0</v>
      </c>
      <c r="O83" s="24">
        <f t="shared" si="7"/>
        <v>7</v>
      </c>
      <c r="P83" s="24">
        <f t="shared" si="8"/>
        <v>1</v>
      </c>
      <c r="Q83" s="25">
        <f t="shared" si="9"/>
        <v>0.1111111111111111</v>
      </c>
      <c r="R83" s="26" t="s">
        <v>716</v>
      </c>
    </row>
    <row r="84" spans="1:18" ht="25.5" customHeight="1" x14ac:dyDescent="0.35">
      <c r="A84" s="21">
        <v>80</v>
      </c>
      <c r="B84" s="22" t="s">
        <v>663</v>
      </c>
      <c r="C84" s="14" t="s">
        <v>717</v>
      </c>
      <c r="D84" s="23" t="s">
        <v>35</v>
      </c>
      <c r="E84" s="23" t="s">
        <v>35</v>
      </c>
      <c r="F84" s="23" t="s">
        <v>580</v>
      </c>
      <c r="G84" s="23" t="s">
        <v>35</v>
      </c>
      <c r="H84" s="23" t="s">
        <v>35</v>
      </c>
      <c r="I84" s="23" t="s">
        <v>37</v>
      </c>
      <c r="J84" s="23" t="s">
        <v>35</v>
      </c>
      <c r="K84" s="23" t="s">
        <v>35</v>
      </c>
      <c r="L84" s="23" t="s">
        <v>35</v>
      </c>
      <c r="M84" s="24">
        <f t="shared" si="5"/>
        <v>1</v>
      </c>
      <c r="N84" s="24">
        <f t="shared" si="6"/>
        <v>0</v>
      </c>
      <c r="O84" s="24">
        <f t="shared" si="7"/>
        <v>7</v>
      </c>
      <c r="P84" s="24">
        <f t="shared" si="8"/>
        <v>1</v>
      </c>
      <c r="Q84" s="25">
        <f t="shared" si="9"/>
        <v>0.1111111111111111</v>
      </c>
      <c r="R84" s="26" t="s">
        <v>718</v>
      </c>
    </row>
    <row r="85" spans="1:18" ht="25.5" customHeight="1" x14ac:dyDescent="0.35">
      <c r="A85" s="21">
        <v>81</v>
      </c>
      <c r="B85" s="22" t="s">
        <v>663</v>
      </c>
      <c r="C85" s="14" t="s">
        <v>719</v>
      </c>
      <c r="D85" s="23" t="s">
        <v>31</v>
      </c>
      <c r="E85" s="23" t="s">
        <v>31</v>
      </c>
      <c r="F85" s="23" t="s">
        <v>31</v>
      </c>
      <c r="G85" s="23" t="s">
        <v>31</v>
      </c>
      <c r="H85" s="23" t="s">
        <v>31</v>
      </c>
      <c r="I85" s="23" t="s">
        <v>31</v>
      </c>
      <c r="J85" s="23" t="s">
        <v>31</v>
      </c>
      <c r="K85" s="23" t="s">
        <v>31</v>
      </c>
      <c r="L85" s="23" t="s">
        <v>31</v>
      </c>
      <c r="M85" s="24">
        <f t="shared" si="5"/>
        <v>9</v>
      </c>
      <c r="N85" s="24">
        <f t="shared" si="6"/>
        <v>0</v>
      </c>
      <c r="O85" s="24">
        <f t="shared" si="7"/>
        <v>0</v>
      </c>
      <c r="P85" s="24">
        <f t="shared" si="8"/>
        <v>0</v>
      </c>
      <c r="Q85" s="25">
        <f t="shared" si="9"/>
        <v>1</v>
      </c>
      <c r="R85" s="26" t="s">
        <v>720</v>
      </c>
    </row>
    <row r="86" spans="1:18" ht="25.5" customHeight="1" x14ac:dyDescent="0.35">
      <c r="A86" s="21">
        <v>82</v>
      </c>
      <c r="B86" s="22" t="s">
        <v>663</v>
      </c>
      <c r="C86" s="14" t="s">
        <v>721</v>
      </c>
      <c r="D86" s="23" t="s">
        <v>37</v>
      </c>
      <c r="E86" s="23" t="s">
        <v>33</v>
      </c>
      <c r="F86" s="23" t="s">
        <v>37</v>
      </c>
      <c r="G86" s="23" t="s">
        <v>35</v>
      </c>
      <c r="H86" s="23" t="s">
        <v>35</v>
      </c>
      <c r="I86" s="23" t="s">
        <v>37</v>
      </c>
      <c r="J86" s="23" t="s">
        <v>37</v>
      </c>
      <c r="K86" s="23" t="s">
        <v>37</v>
      </c>
      <c r="L86" s="23" t="s">
        <v>35</v>
      </c>
      <c r="M86" s="24">
        <f t="shared" si="5"/>
        <v>0</v>
      </c>
      <c r="N86" s="24">
        <f t="shared" si="6"/>
        <v>1</v>
      </c>
      <c r="O86" s="24">
        <f t="shared" si="7"/>
        <v>3</v>
      </c>
      <c r="P86" s="24">
        <f t="shared" si="8"/>
        <v>5</v>
      </c>
      <c r="Q86" s="25">
        <f t="shared" si="9"/>
        <v>5.5555555555555552E-2</v>
      </c>
      <c r="R86" s="26" t="s">
        <v>722</v>
      </c>
    </row>
    <row r="87" spans="1:18" ht="25.5" customHeight="1" x14ac:dyDescent="0.35">
      <c r="A87" s="21">
        <v>83</v>
      </c>
      <c r="B87" s="22" t="s">
        <v>663</v>
      </c>
      <c r="C87" s="14" t="s">
        <v>723</v>
      </c>
      <c r="D87" s="23" t="s">
        <v>31</v>
      </c>
      <c r="E87" s="23" t="s">
        <v>31</v>
      </c>
      <c r="F87" s="23" t="s">
        <v>31</v>
      </c>
      <c r="G87" s="23" t="s">
        <v>33</v>
      </c>
      <c r="H87" s="23" t="s">
        <v>31</v>
      </c>
      <c r="I87" s="23" t="s">
        <v>37</v>
      </c>
      <c r="J87" s="23" t="s">
        <v>31</v>
      </c>
      <c r="K87" s="23" t="s">
        <v>31</v>
      </c>
      <c r="L87" s="23" t="s">
        <v>33</v>
      </c>
      <c r="M87" s="24">
        <f t="shared" si="5"/>
        <v>6</v>
      </c>
      <c r="N87" s="24">
        <f t="shared" si="6"/>
        <v>2</v>
      </c>
      <c r="O87" s="24">
        <f t="shared" si="7"/>
        <v>0</v>
      </c>
      <c r="P87" s="24">
        <f t="shared" si="8"/>
        <v>1</v>
      </c>
      <c r="Q87" s="25">
        <f t="shared" si="9"/>
        <v>0.77777777777777779</v>
      </c>
      <c r="R87" s="26" t="s">
        <v>724</v>
      </c>
    </row>
    <row r="88" spans="1:18" ht="25.5" customHeight="1" x14ac:dyDescent="0.35">
      <c r="A88" s="21">
        <v>84</v>
      </c>
      <c r="B88" s="22" t="s">
        <v>663</v>
      </c>
      <c r="C88" s="14" t="s">
        <v>725</v>
      </c>
      <c r="D88" s="23" t="s">
        <v>31</v>
      </c>
      <c r="E88" s="23" t="s">
        <v>31</v>
      </c>
      <c r="F88" s="23" t="s">
        <v>31</v>
      </c>
      <c r="G88" s="23" t="s">
        <v>33</v>
      </c>
      <c r="H88" s="23" t="s">
        <v>31</v>
      </c>
      <c r="I88" s="23" t="s">
        <v>37</v>
      </c>
      <c r="J88" s="23" t="s">
        <v>31</v>
      </c>
      <c r="K88" s="23" t="s">
        <v>31</v>
      </c>
      <c r="L88" s="23" t="s">
        <v>33</v>
      </c>
      <c r="M88" s="24">
        <f t="shared" si="5"/>
        <v>6</v>
      </c>
      <c r="N88" s="24">
        <f t="shared" si="6"/>
        <v>2</v>
      </c>
      <c r="O88" s="24">
        <f t="shared" si="7"/>
        <v>0</v>
      </c>
      <c r="P88" s="24">
        <f t="shared" si="8"/>
        <v>1</v>
      </c>
      <c r="Q88" s="25">
        <f t="shared" si="9"/>
        <v>0.77777777777777779</v>
      </c>
      <c r="R88" s="26" t="s">
        <v>726</v>
      </c>
    </row>
    <row r="89" spans="1:18" ht="25.5" customHeight="1" x14ac:dyDescent="0.35">
      <c r="A89" s="21">
        <v>85</v>
      </c>
      <c r="B89" s="22" t="s">
        <v>663</v>
      </c>
      <c r="C89" s="14" t="s">
        <v>727</v>
      </c>
      <c r="D89" s="23" t="s">
        <v>35</v>
      </c>
      <c r="E89" s="23" t="s">
        <v>33</v>
      </c>
      <c r="F89" s="23" t="s">
        <v>35</v>
      </c>
      <c r="G89" s="23" t="s">
        <v>35</v>
      </c>
      <c r="H89" s="23" t="s">
        <v>35</v>
      </c>
      <c r="I89" s="23" t="s">
        <v>37</v>
      </c>
      <c r="J89" s="23" t="s">
        <v>35</v>
      </c>
      <c r="K89" s="23" t="s">
        <v>35</v>
      </c>
      <c r="L89" s="23" t="s">
        <v>35</v>
      </c>
      <c r="M89" s="24">
        <f t="shared" si="5"/>
        <v>0</v>
      </c>
      <c r="N89" s="24">
        <f t="shared" si="6"/>
        <v>1</v>
      </c>
      <c r="O89" s="24">
        <f t="shared" si="7"/>
        <v>7</v>
      </c>
      <c r="P89" s="24">
        <f t="shared" si="8"/>
        <v>1</v>
      </c>
      <c r="Q89" s="25">
        <f t="shared" si="9"/>
        <v>5.5555555555555552E-2</v>
      </c>
      <c r="R89" s="26" t="s">
        <v>728</v>
      </c>
    </row>
    <row r="90" spans="1:18" ht="25.5" customHeight="1" x14ac:dyDescent="0.35">
      <c r="A90" s="21">
        <v>86</v>
      </c>
      <c r="B90" s="22" t="s">
        <v>663</v>
      </c>
      <c r="C90" s="14" t="s">
        <v>729</v>
      </c>
      <c r="D90" s="23" t="s">
        <v>35</v>
      </c>
      <c r="E90" s="23" t="s">
        <v>35</v>
      </c>
      <c r="F90" s="23" t="s">
        <v>35</v>
      </c>
      <c r="G90" s="23" t="s">
        <v>35</v>
      </c>
      <c r="H90" s="23" t="s">
        <v>35</v>
      </c>
      <c r="I90" s="23" t="s">
        <v>35</v>
      </c>
      <c r="J90" s="23" t="s">
        <v>35</v>
      </c>
      <c r="K90" s="23" t="s">
        <v>35</v>
      </c>
      <c r="L90" s="23" t="s">
        <v>35</v>
      </c>
      <c r="M90" s="24">
        <f t="shared" si="5"/>
        <v>0</v>
      </c>
      <c r="N90" s="24">
        <f t="shared" si="6"/>
        <v>0</v>
      </c>
      <c r="O90" s="24">
        <f t="shared" si="7"/>
        <v>9</v>
      </c>
      <c r="P90" s="24">
        <f t="shared" si="8"/>
        <v>0</v>
      </c>
      <c r="Q90" s="25">
        <f t="shared" si="9"/>
        <v>0</v>
      </c>
      <c r="R90" s="26" t="s">
        <v>650</v>
      </c>
    </row>
    <row r="91" spans="1:18" ht="25.5" customHeight="1" x14ac:dyDescent="0.35">
      <c r="A91" s="21">
        <v>87</v>
      </c>
      <c r="B91" s="22" t="s">
        <v>663</v>
      </c>
      <c r="C91" s="14" t="s">
        <v>730</v>
      </c>
      <c r="D91" s="23" t="s">
        <v>31</v>
      </c>
      <c r="E91" s="23" t="s">
        <v>31</v>
      </c>
      <c r="F91" s="23" t="s">
        <v>31</v>
      </c>
      <c r="G91" s="23" t="s">
        <v>33</v>
      </c>
      <c r="H91" s="23" t="s">
        <v>31</v>
      </c>
      <c r="I91" s="23" t="s">
        <v>31</v>
      </c>
      <c r="J91" s="23" t="s">
        <v>31</v>
      </c>
      <c r="K91" s="23" t="s">
        <v>31</v>
      </c>
      <c r="L91" s="23" t="s">
        <v>33</v>
      </c>
      <c r="M91" s="24">
        <f t="shared" si="5"/>
        <v>7</v>
      </c>
      <c r="N91" s="24">
        <f t="shared" si="6"/>
        <v>2</v>
      </c>
      <c r="O91" s="24">
        <f t="shared" si="7"/>
        <v>0</v>
      </c>
      <c r="P91" s="24">
        <f t="shared" si="8"/>
        <v>0</v>
      </c>
      <c r="Q91" s="25">
        <f t="shared" si="9"/>
        <v>0.88888888888888884</v>
      </c>
      <c r="R91" s="26" t="s">
        <v>731</v>
      </c>
    </row>
    <row r="92" spans="1:18" ht="25.5" customHeight="1" x14ac:dyDescent="0.35">
      <c r="A92" s="21">
        <v>88</v>
      </c>
      <c r="B92" s="22" t="s">
        <v>732</v>
      </c>
      <c r="C92" s="14" t="s">
        <v>733</v>
      </c>
      <c r="D92" s="23" t="s">
        <v>31</v>
      </c>
      <c r="E92" s="23" t="s">
        <v>31</v>
      </c>
      <c r="F92" s="23" t="s">
        <v>31</v>
      </c>
      <c r="G92" s="23" t="s">
        <v>31</v>
      </c>
      <c r="H92" s="23" t="s">
        <v>31</v>
      </c>
      <c r="I92" s="23" t="s">
        <v>31</v>
      </c>
      <c r="J92" s="23" t="s">
        <v>31</v>
      </c>
      <c r="K92" s="23" t="s">
        <v>31</v>
      </c>
      <c r="L92" s="23" t="s">
        <v>31</v>
      </c>
      <c r="M92" s="24">
        <f t="shared" si="5"/>
        <v>9</v>
      </c>
      <c r="N92" s="24">
        <f t="shared" si="6"/>
        <v>0</v>
      </c>
      <c r="O92" s="24">
        <f t="shared" si="7"/>
        <v>0</v>
      </c>
      <c r="P92" s="24">
        <f t="shared" si="8"/>
        <v>0</v>
      </c>
      <c r="Q92" s="25">
        <f t="shared" si="9"/>
        <v>1</v>
      </c>
      <c r="R92" s="26"/>
    </row>
    <row r="93" spans="1:18" ht="25.5" customHeight="1" x14ac:dyDescent="0.35">
      <c r="A93" s="21">
        <v>89</v>
      </c>
      <c r="B93" s="22" t="s">
        <v>732</v>
      </c>
      <c r="C93" s="14" t="s">
        <v>734</v>
      </c>
      <c r="D93" s="23" t="s">
        <v>33</v>
      </c>
      <c r="E93" s="23" t="s">
        <v>33</v>
      </c>
      <c r="F93" s="23" t="s">
        <v>31</v>
      </c>
      <c r="G93" s="23" t="s">
        <v>35</v>
      </c>
      <c r="H93" s="23" t="s">
        <v>33</v>
      </c>
      <c r="I93" s="23" t="s">
        <v>37</v>
      </c>
      <c r="J93" s="23" t="s">
        <v>33</v>
      </c>
      <c r="K93" s="23" t="s">
        <v>33</v>
      </c>
      <c r="L93" s="23" t="s">
        <v>35</v>
      </c>
      <c r="M93" s="24">
        <f t="shared" si="5"/>
        <v>1</v>
      </c>
      <c r="N93" s="24">
        <f t="shared" si="6"/>
        <v>5</v>
      </c>
      <c r="O93" s="24">
        <f t="shared" si="7"/>
        <v>2</v>
      </c>
      <c r="P93" s="24">
        <f t="shared" si="8"/>
        <v>1</v>
      </c>
      <c r="Q93" s="25">
        <f t="shared" si="9"/>
        <v>0.3888888888888889</v>
      </c>
      <c r="R93" s="26" t="s">
        <v>735</v>
      </c>
    </row>
    <row r="94" spans="1:18" ht="25.5" customHeight="1" x14ac:dyDescent="0.35">
      <c r="A94" s="21">
        <v>90</v>
      </c>
      <c r="B94" s="22" t="s">
        <v>732</v>
      </c>
      <c r="C94" s="14" t="s">
        <v>736</v>
      </c>
      <c r="D94" s="23" t="s">
        <v>33</v>
      </c>
      <c r="E94" s="23" t="s">
        <v>31</v>
      </c>
      <c r="F94" s="23" t="s">
        <v>31</v>
      </c>
      <c r="G94" s="23" t="s">
        <v>31</v>
      </c>
      <c r="H94" s="23" t="s">
        <v>31</v>
      </c>
      <c r="I94" s="23" t="s">
        <v>37</v>
      </c>
      <c r="J94" s="23" t="s">
        <v>31</v>
      </c>
      <c r="K94" s="23" t="s">
        <v>31</v>
      </c>
      <c r="L94" s="23" t="s">
        <v>33</v>
      </c>
      <c r="M94" s="24">
        <f t="shared" si="5"/>
        <v>6</v>
      </c>
      <c r="N94" s="24">
        <f t="shared" si="6"/>
        <v>2</v>
      </c>
      <c r="O94" s="24">
        <f t="shared" si="7"/>
        <v>0</v>
      </c>
      <c r="P94" s="24">
        <f t="shared" si="8"/>
        <v>1</v>
      </c>
      <c r="Q94" s="25">
        <f t="shared" si="9"/>
        <v>0.77777777777777779</v>
      </c>
      <c r="R94" s="26" t="s">
        <v>737</v>
      </c>
    </row>
    <row r="95" spans="1:18" ht="25.5" customHeight="1" x14ac:dyDescent="0.35">
      <c r="A95" s="21">
        <v>91</v>
      </c>
      <c r="B95" s="22" t="s">
        <v>732</v>
      </c>
      <c r="C95" s="14" t="s">
        <v>738</v>
      </c>
      <c r="D95" s="23" t="s">
        <v>33</v>
      </c>
      <c r="E95" s="23" t="s">
        <v>31</v>
      </c>
      <c r="F95" s="23" t="s">
        <v>31</v>
      </c>
      <c r="G95" s="23" t="s">
        <v>33</v>
      </c>
      <c r="H95" s="23" t="s">
        <v>31</v>
      </c>
      <c r="I95" s="23" t="s">
        <v>37</v>
      </c>
      <c r="J95" s="23" t="s">
        <v>31</v>
      </c>
      <c r="K95" s="23" t="s">
        <v>31</v>
      </c>
      <c r="L95" s="23" t="s">
        <v>33</v>
      </c>
      <c r="M95" s="24">
        <f t="shared" si="5"/>
        <v>5</v>
      </c>
      <c r="N95" s="24">
        <f t="shared" si="6"/>
        <v>3</v>
      </c>
      <c r="O95" s="24">
        <f t="shared" si="7"/>
        <v>0</v>
      </c>
      <c r="P95" s="24">
        <f t="shared" si="8"/>
        <v>1</v>
      </c>
      <c r="Q95" s="25">
        <f t="shared" si="9"/>
        <v>0.72222222222222221</v>
      </c>
      <c r="R95" s="26" t="s">
        <v>739</v>
      </c>
    </row>
    <row r="96" spans="1:18" ht="25.5" customHeight="1" x14ac:dyDescent="0.35">
      <c r="A96" s="21">
        <v>92</v>
      </c>
      <c r="B96" s="22" t="s">
        <v>732</v>
      </c>
      <c r="C96" s="14" t="s">
        <v>740</v>
      </c>
      <c r="D96" s="23" t="s">
        <v>31</v>
      </c>
      <c r="E96" s="23" t="s">
        <v>31</v>
      </c>
      <c r="F96" s="23" t="s">
        <v>31</v>
      </c>
      <c r="G96" s="23" t="s">
        <v>33</v>
      </c>
      <c r="H96" s="23" t="s">
        <v>31</v>
      </c>
      <c r="I96" s="23" t="s">
        <v>37</v>
      </c>
      <c r="J96" s="23" t="s">
        <v>31</v>
      </c>
      <c r="K96" s="23" t="s">
        <v>31</v>
      </c>
      <c r="L96" s="23" t="s">
        <v>33</v>
      </c>
      <c r="M96" s="24">
        <f t="shared" si="5"/>
        <v>6</v>
      </c>
      <c r="N96" s="24">
        <f t="shared" si="6"/>
        <v>2</v>
      </c>
      <c r="O96" s="24">
        <f t="shared" si="7"/>
        <v>0</v>
      </c>
      <c r="P96" s="24">
        <f t="shared" si="8"/>
        <v>1</v>
      </c>
      <c r="Q96" s="25">
        <f t="shared" si="9"/>
        <v>0.77777777777777779</v>
      </c>
      <c r="R96" s="26" t="s">
        <v>741</v>
      </c>
    </row>
    <row r="97" spans="1:18" ht="25.5" customHeight="1" x14ac:dyDescent="0.35">
      <c r="A97" s="21">
        <v>93</v>
      </c>
      <c r="B97" s="22" t="s">
        <v>732</v>
      </c>
      <c r="C97" s="14" t="s">
        <v>742</v>
      </c>
      <c r="D97" s="23" t="s">
        <v>31</v>
      </c>
      <c r="E97" s="23" t="s">
        <v>31</v>
      </c>
      <c r="F97" s="23" t="s">
        <v>31</v>
      </c>
      <c r="G97" s="23" t="s">
        <v>31</v>
      </c>
      <c r="H97" s="23" t="s">
        <v>31</v>
      </c>
      <c r="I97" s="23" t="s">
        <v>31</v>
      </c>
      <c r="J97" s="23" t="s">
        <v>31</v>
      </c>
      <c r="K97" s="23" t="s">
        <v>31</v>
      </c>
      <c r="L97" s="23" t="s">
        <v>31</v>
      </c>
      <c r="M97" s="24">
        <f t="shared" si="5"/>
        <v>9</v>
      </c>
      <c r="N97" s="24">
        <f t="shared" si="6"/>
        <v>0</v>
      </c>
      <c r="O97" s="24">
        <f t="shared" si="7"/>
        <v>0</v>
      </c>
      <c r="P97" s="24">
        <f t="shared" si="8"/>
        <v>0</v>
      </c>
      <c r="Q97" s="25">
        <f t="shared" si="9"/>
        <v>1</v>
      </c>
      <c r="R97" s="26"/>
    </row>
    <row r="98" spans="1:18" ht="25.5" customHeight="1" x14ac:dyDescent="0.35">
      <c r="A98" s="21">
        <v>94</v>
      </c>
      <c r="B98" s="22" t="s">
        <v>732</v>
      </c>
      <c r="C98" s="14" t="s">
        <v>743</v>
      </c>
      <c r="D98" s="23" t="s">
        <v>31</v>
      </c>
      <c r="E98" s="23" t="s">
        <v>31</v>
      </c>
      <c r="F98" s="23" t="s">
        <v>31</v>
      </c>
      <c r="G98" s="23" t="s">
        <v>33</v>
      </c>
      <c r="H98" s="23" t="s">
        <v>31</v>
      </c>
      <c r="I98" s="23" t="s">
        <v>31</v>
      </c>
      <c r="J98" s="23" t="s">
        <v>31</v>
      </c>
      <c r="K98" s="23" t="s">
        <v>31</v>
      </c>
      <c r="L98" s="23" t="s">
        <v>33</v>
      </c>
      <c r="M98" s="24">
        <f t="shared" si="5"/>
        <v>7</v>
      </c>
      <c r="N98" s="24">
        <f t="shared" si="6"/>
        <v>2</v>
      </c>
      <c r="O98" s="24">
        <f t="shared" si="7"/>
        <v>0</v>
      </c>
      <c r="P98" s="24">
        <f t="shared" si="8"/>
        <v>0</v>
      </c>
      <c r="Q98" s="25">
        <f t="shared" si="9"/>
        <v>0.88888888888888884</v>
      </c>
      <c r="R98" s="26"/>
    </row>
    <row r="99" spans="1:18" ht="25.5" customHeight="1" x14ac:dyDescent="0.35">
      <c r="A99" s="21">
        <v>95</v>
      </c>
      <c r="B99" s="22" t="s">
        <v>732</v>
      </c>
      <c r="C99" s="14" t="s">
        <v>744</v>
      </c>
      <c r="D99" s="23" t="s">
        <v>31</v>
      </c>
      <c r="E99" s="23" t="s">
        <v>31</v>
      </c>
      <c r="F99" s="23" t="s">
        <v>31</v>
      </c>
      <c r="G99" s="23" t="s">
        <v>31</v>
      </c>
      <c r="H99" s="23" t="s">
        <v>31</v>
      </c>
      <c r="I99" s="23" t="s">
        <v>31</v>
      </c>
      <c r="J99" s="23" t="s">
        <v>31</v>
      </c>
      <c r="K99" s="23" t="s">
        <v>31</v>
      </c>
      <c r="L99" s="23" t="s">
        <v>31</v>
      </c>
      <c r="M99" s="24">
        <f t="shared" si="5"/>
        <v>9</v>
      </c>
      <c r="N99" s="24">
        <f t="shared" si="6"/>
        <v>0</v>
      </c>
      <c r="O99" s="24">
        <f t="shared" si="7"/>
        <v>0</v>
      </c>
      <c r="P99" s="24">
        <f t="shared" si="8"/>
        <v>0</v>
      </c>
      <c r="Q99" s="25">
        <f t="shared" si="9"/>
        <v>1</v>
      </c>
      <c r="R99" s="26"/>
    </row>
    <row r="100" spans="1:18" ht="25.5" customHeight="1" x14ac:dyDescent="0.35">
      <c r="A100" s="21">
        <v>96</v>
      </c>
      <c r="B100" s="22" t="s">
        <v>732</v>
      </c>
      <c r="C100" s="14" t="s">
        <v>745</v>
      </c>
      <c r="D100" s="23" t="s">
        <v>33</v>
      </c>
      <c r="E100" s="23" t="s">
        <v>31</v>
      </c>
      <c r="F100" s="23" t="s">
        <v>31</v>
      </c>
      <c r="G100" s="23" t="s">
        <v>31</v>
      </c>
      <c r="H100" s="23" t="s">
        <v>31</v>
      </c>
      <c r="I100" s="23" t="s">
        <v>31</v>
      </c>
      <c r="J100" s="23" t="s">
        <v>31</v>
      </c>
      <c r="K100" s="23" t="s">
        <v>31</v>
      </c>
      <c r="L100" s="23" t="s">
        <v>33</v>
      </c>
      <c r="M100" s="24">
        <f t="shared" si="5"/>
        <v>7</v>
      </c>
      <c r="N100" s="24">
        <f t="shared" si="6"/>
        <v>2</v>
      </c>
      <c r="O100" s="24">
        <f t="shared" si="7"/>
        <v>0</v>
      </c>
      <c r="P100" s="24">
        <f t="shared" si="8"/>
        <v>0</v>
      </c>
      <c r="Q100" s="25">
        <f t="shared" si="9"/>
        <v>0.88888888888888884</v>
      </c>
      <c r="R100" s="26"/>
    </row>
    <row r="101" spans="1:18" ht="25.5" customHeight="1" x14ac:dyDescent="0.35">
      <c r="A101" s="21">
        <v>97</v>
      </c>
      <c r="B101" s="22" t="s">
        <v>732</v>
      </c>
      <c r="C101" s="14" t="s">
        <v>746</v>
      </c>
      <c r="D101" s="23" t="s">
        <v>33</v>
      </c>
      <c r="E101" s="23" t="s">
        <v>31</v>
      </c>
      <c r="F101" s="23" t="s">
        <v>31</v>
      </c>
      <c r="G101" s="23" t="s">
        <v>35</v>
      </c>
      <c r="H101" s="23" t="s">
        <v>31</v>
      </c>
      <c r="I101" s="23" t="s">
        <v>31</v>
      </c>
      <c r="J101" s="23" t="s">
        <v>33</v>
      </c>
      <c r="K101" s="23" t="s">
        <v>31</v>
      </c>
      <c r="L101" s="23" t="s">
        <v>35</v>
      </c>
      <c r="M101" s="24">
        <f t="shared" si="5"/>
        <v>5</v>
      </c>
      <c r="N101" s="24">
        <f t="shared" si="6"/>
        <v>2</v>
      </c>
      <c r="O101" s="24">
        <f t="shared" si="7"/>
        <v>2</v>
      </c>
      <c r="P101" s="24">
        <f t="shared" si="8"/>
        <v>0</v>
      </c>
      <c r="Q101" s="25">
        <f t="shared" si="9"/>
        <v>0.66666666666666663</v>
      </c>
      <c r="R101" s="26"/>
    </row>
    <row r="102" spans="1:18" ht="25.5" customHeight="1" x14ac:dyDescent="0.35">
      <c r="A102" s="21">
        <v>98</v>
      </c>
      <c r="B102" s="22" t="s">
        <v>732</v>
      </c>
      <c r="C102" s="14" t="s">
        <v>747</v>
      </c>
      <c r="D102" s="23" t="s">
        <v>33</v>
      </c>
      <c r="E102" s="23" t="s">
        <v>31</v>
      </c>
      <c r="F102" s="23" t="s">
        <v>33</v>
      </c>
      <c r="G102" s="23" t="s">
        <v>35</v>
      </c>
      <c r="H102" s="23" t="s">
        <v>31</v>
      </c>
      <c r="I102" s="23" t="s">
        <v>31</v>
      </c>
      <c r="J102" s="23" t="s">
        <v>33</v>
      </c>
      <c r="K102" s="23" t="s">
        <v>31</v>
      </c>
      <c r="L102" s="23" t="s">
        <v>35</v>
      </c>
      <c r="M102" s="24">
        <f t="shared" si="5"/>
        <v>4</v>
      </c>
      <c r="N102" s="24">
        <f t="shared" si="6"/>
        <v>3</v>
      </c>
      <c r="O102" s="24">
        <f t="shared" si="7"/>
        <v>2</v>
      </c>
      <c r="P102" s="24">
        <f t="shared" si="8"/>
        <v>0</v>
      </c>
      <c r="Q102" s="25">
        <f t="shared" si="9"/>
        <v>0.61111111111111116</v>
      </c>
      <c r="R102" s="26"/>
    </row>
    <row r="103" spans="1:18" ht="25.5" customHeight="1" x14ac:dyDescent="0.35">
      <c r="A103" s="21">
        <v>99</v>
      </c>
      <c r="B103" s="22" t="s">
        <v>732</v>
      </c>
      <c r="C103" s="14" t="s">
        <v>748</v>
      </c>
      <c r="D103" s="23" t="s">
        <v>35</v>
      </c>
      <c r="E103" s="23" t="s">
        <v>33</v>
      </c>
      <c r="F103" s="23" t="s">
        <v>33</v>
      </c>
      <c r="G103" s="23" t="s">
        <v>35</v>
      </c>
      <c r="H103" s="23" t="s">
        <v>31</v>
      </c>
      <c r="I103" s="23" t="s">
        <v>33</v>
      </c>
      <c r="J103" s="23" t="s">
        <v>33</v>
      </c>
      <c r="K103" s="23" t="s">
        <v>31</v>
      </c>
      <c r="L103" s="23" t="s">
        <v>35</v>
      </c>
      <c r="M103" s="24">
        <f t="shared" si="5"/>
        <v>2</v>
      </c>
      <c r="N103" s="24">
        <f t="shared" si="6"/>
        <v>4</v>
      </c>
      <c r="O103" s="24">
        <f t="shared" si="7"/>
        <v>3</v>
      </c>
      <c r="P103" s="24">
        <f t="shared" si="8"/>
        <v>0</v>
      </c>
      <c r="Q103" s="25">
        <f t="shared" si="9"/>
        <v>0.44444444444444442</v>
      </c>
      <c r="R103" s="26"/>
    </row>
    <row r="104" spans="1:18" ht="25.5" customHeight="1" x14ac:dyDescent="0.35">
      <c r="A104" s="21">
        <v>100</v>
      </c>
      <c r="B104" s="22" t="s">
        <v>732</v>
      </c>
      <c r="C104" s="14" t="s">
        <v>749</v>
      </c>
      <c r="D104" s="23" t="s">
        <v>33</v>
      </c>
      <c r="E104" s="23" t="s">
        <v>31</v>
      </c>
      <c r="F104" s="23" t="s">
        <v>33</v>
      </c>
      <c r="G104" s="23" t="s">
        <v>35</v>
      </c>
      <c r="H104" s="23" t="s">
        <v>31</v>
      </c>
      <c r="I104" s="23" t="s">
        <v>37</v>
      </c>
      <c r="J104" s="23" t="s">
        <v>31</v>
      </c>
      <c r="K104" s="23" t="s">
        <v>33</v>
      </c>
      <c r="L104" s="23" t="s">
        <v>35</v>
      </c>
      <c r="M104" s="24">
        <f t="shared" si="5"/>
        <v>3</v>
      </c>
      <c r="N104" s="24">
        <f t="shared" si="6"/>
        <v>3</v>
      </c>
      <c r="O104" s="24">
        <f t="shared" si="7"/>
        <v>2</v>
      </c>
      <c r="P104" s="24">
        <f t="shared" si="8"/>
        <v>1</v>
      </c>
      <c r="Q104" s="25">
        <f t="shared" si="9"/>
        <v>0.5</v>
      </c>
      <c r="R104" s="26"/>
    </row>
    <row r="105" spans="1:18" ht="25.5" customHeight="1" x14ac:dyDescent="0.35">
      <c r="A105" s="21">
        <v>101</v>
      </c>
      <c r="B105" s="22" t="s">
        <v>732</v>
      </c>
      <c r="C105" s="14" t="s">
        <v>750</v>
      </c>
      <c r="D105" s="23" t="s">
        <v>33</v>
      </c>
      <c r="E105" s="23" t="s">
        <v>31</v>
      </c>
      <c r="F105" s="23" t="s">
        <v>33</v>
      </c>
      <c r="G105" s="23" t="s">
        <v>31</v>
      </c>
      <c r="H105" s="23" t="s">
        <v>33</v>
      </c>
      <c r="I105" s="23" t="s">
        <v>31</v>
      </c>
      <c r="J105" s="23" t="s">
        <v>31</v>
      </c>
      <c r="K105" s="23" t="s">
        <v>31</v>
      </c>
      <c r="L105" s="23" t="s">
        <v>33</v>
      </c>
      <c r="M105" s="24">
        <f t="shared" si="5"/>
        <v>5</v>
      </c>
      <c r="N105" s="24">
        <f t="shared" si="6"/>
        <v>4</v>
      </c>
      <c r="O105" s="24">
        <f t="shared" si="7"/>
        <v>0</v>
      </c>
      <c r="P105" s="24">
        <f t="shared" si="8"/>
        <v>0</v>
      </c>
      <c r="Q105" s="25">
        <f t="shared" si="9"/>
        <v>0.77777777777777779</v>
      </c>
      <c r="R105" s="26"/>
    </row>
    <row r="106" spans="1:18" ht="25.5" customHeight="1" x14ac:dyDescent="0.35">
      <c r="A106" s="21">
        <v>102</v>
      </c>
      <c r="B106" s="22" t="s">
        <v>732</v>
      </c>
      <c r="C106" s="14" t="s">
        <v>751</v>
      </c>
      <c r="D106" s="23" t="s">
        <v>33</v>
      </c>
      <c r="E106" s="23" t="s">
        <v>31</v>
      </c>
      <c r="F106" s="23" t="s">
        <v>31</v>
      </c>
      <c r="G106" s="23" t="s">
        <v>35</v>
      </c>
      <c r="H106" s="23" t="s">
        <v>31</v>
      </c>
      <c r="I106" s="23" t="s">
        <v>37</v>
      </c>
      <c r="J106" s="23" t="s">
        <v>33</v>
      </c>
      <c r="K106" s="23" t="s">
        <v>31</v>
      </c>
      <c r="L106" s="23" t="s">
        <v>35</v>
      </c>
      <c r="M106" s="24">
        <f t="shared" si="5"/>
        <v>4</v>
      </c>
      <c r="N106" s="24">
        <f t="shared" si="6"/>
        <v>2</v>
      </c>
      <c r="O106" s="24">
        <f t="shared" si="7"/>
        <v>2</v>
      </c>
      <c r="P106" s="24">
        <f t="shared" si="8"/>
        <v>1</v>
      </c>
      <c r="Q106" s="25">
        <f t="shared" si="9"/>
        <v>0.55555555555555558</v>
      </c>
      <c r="R106" s="26" t="s">
        <v>752</v>
      </c>
    </row>
    <row r="107" spans="1:18" ht="25.5" customHeight="1" x14ac:dyDescent="0.35">
      <c r="A107" s="21">
        <v>103</v>
      </c>
      <c r="B107" s="22" t="s">
        <v>732</v>
      </c>
      <c r="C107" s="14" t="s">
        <v>753</v>
      </c>
      <c r="D107" s="23" t="s">
        <v>33</v>
      </c>
      <c r="E107" s="23" t="s">
        <v>31</v>
      </c>
      <c r="F107" s="23" t="s">
        <v>31</v>
      </c>
      <c r="G107" s="23" t="s">
        <v>31</v>
      </c>
      <c r="H107" s="23" t="s">
        <v>31</v>
      </c>
      <c r="I107" s="23" t="s">
        <v>31</v>
      </c>
      <c r="J107" s="23" t="s">
        <v>33</v>
      </c>
      <c r="K107" s="23" t="s">
        <v>33</v>
      </c>
      <c r="L107" s="23" t="s">
        <v>31</v>
      </c>
      <c r="M107" s="24">
        <f t="shared" si="5"/>
        <v>6</v>
      </c>
      <c r="N107" s="24">
        <f t="shared" si="6"/>
        <v>3</v>
      </c>
      <c r="O107" s="24">
        <f t="shared" si="7"/>
        <v>0</v>
      </c>
      <c r="P107" s="24">
        <f t="shared" si="8"/>
        <v>0</v>
      </c>
      <c r="Q107" s="25">
        <f t="shared" si="9"/>
        <v>0.83333333333333337</v>
      </c>
      <c r="R107" s="26"/>
    </row>
    <row r="108" spans="1:18" ht="25.5" customHeight="1" x14ac:dyDescent="0.35">
      <c r="A108" s="21">
        <v>104</v>
      </c>
      <c r="B108" s="22" t="s">
        <v>732</v>
      </c>
      <c r="C108" s="14" t="s">
        <v>754</v>
      </c>
      <c r="D108" s="23" t="s">
        <v>33</v>
      </c>
      <c r="E108" s="23" t="s">
        <v>31</v>
      </c>
      <c r="F108" s="23" t="s">
        <v>31</v>
      </c>
      <c r="G108" s="23" t="s">
        <v>33</v>
      </c>
      <c r="H108" s="23" t="s">
        <v>31</v>
      </c>
      <c r="I108" s="23" t="s">
        <v>31</v>
      </c>
      <c r="J108" s="23" t="s">
        <v>35</v>
      </c>
      <c r="K108" s="23" t="s">
        <v>33</v>
      </c>
      <c r="L108" s="23" t="s">
        <v>35</v>
      </c>
      <c r="M108" s="24">
        <f t="shared" si="5"/>
        <v>4</v>
      </c>
      <c r="N108" s="24">
        <f t="shared" si="6"/>
        <v>3</v>
      </c>
      <c r="O108" s="24">
        <f t="shared" si="7"/>
        <v>2</v>
      </c>
      <c r="P108" s="24">
        <f t="shared" si="8"/>
        <v>0</v>
      </c>
      <c r="Q108" s="25">
        <f t="shared" si="9"/>
        <v>0.61111111111111116</v>
      </c>
      <c r="R108" s="26"/>
    </row>
    <row r="109" spans="1:18" ht="25.5" customHeight="1" x14ac:dyDescent="0.35">
      <c r="A109" s="21">
        <v>105</v>
      </c>
      <c r="B109" s="22" t="s">
        <v>732</v>
      </c>
      <c r="C109" s="14" t="s">
        <v>755</v>
      </c>
      <c r="D109" s="23" t="s">
        <v>31</v>
      </c>
      <c r="E109" s="23" t="s">
        <v>31</v>
      </c>
      <c r="F109" s="23" t="s">
        <v>33</v>
      </c>
      <c r="G109" s="23" t="s">
        <v>35</v>
      </c>
      <c r="H109" s="23" t="s">
        <v>31</v>
      </c>
      <c r="I109" s="23" t="s">
        <v>31</v>
      </c>
      <c r="J109" s="23" t="s">
        <v>33</v>
      </c>
      <c r="K109" s="23" t="s">
        <v>31</v>
      </c>
      <c r="L109" s="23" t="s">
        <v>35</v>
      </c>
      <c r="M109" s="24">
        <f t="shared" si="5"/>
        <v>5</v>
      </c>
      <c r="N109" s="24">
        <f t="shared" si="6"/>
        <v>2</v>
      </c>
      <c r="O109" s="24">
        <f t="shared" si="7"/>
        <v>2</v>
      </c>
      <c r="P109" s="24">
        <f t="shared" si="8"/>
        <v>0</v>
      </c>
      <c r="Q109" s="25">
        <f t="shared" si="9"/>
        <v>0.66666666666666663</v>
      </c>
      <c r="R109" s="26" t="s">
        <v>756</v>
      </c>
    </row>
    <row r="110" spans="1:18" ht="25.5" customHeight="1" x14ac:dyDescent="0.35">
      <c r="A110" s="21">
        <v>106</v>
      </c>
      <c r="B110" s="22" t="s">
        <v>732</v>
      </c>
      <c r="C110" s="14" t="s">
        <v>757</v>
      </c>
      <c r="D110" s="23" t="s">
        <v>33</v>
      </c>
      <c r="E110" s="23" t="s">
        <v>31</v>
      </c>
      <c r="F110" s="23" t="s">
        <v>31</v>
      </c>
      <c r="G110" s="23" t="s">
        <v>33</v>
      </c>
      <c r="H110" s="23" t="s">
        <v>31</v>
      </c>
      <c r="I110" s="23" t="s">
        <v>31</v>
      </c>
      <c r="J110" s="23" t="s">
        <v>31</v>
      </c>
      <c r="K110" s="23" t="s">
        <v>31</v>
      </c>
      <c r="L110" s="23" t="s">
        <v>33</v>
      </c>
      <c r="M110" s="24">
        <f t="shared" si="5"/>
        <v>6</v>
      </c>
      <c r="N110" s="24">
        <f t="shared" si="6"/>
        <v>3</v>
      </c>
      <c r="O110" s="24">
        <f t="shared" si="7"/>
        <v>0</v>
      </c>
      <c r="P110" s="24">
        <f t="shared" si="8"/>
        <v>0</v>
      </c>
      <c r="Q110" s="25">
        <f t="shared" si="9"/>
        <v>0.83333333333333337</v>
      </c>
      <c r="R110" s="26"/>
    </row>
    <row r="111" spans="1:18" ht="25.5" customHeight="1" x14ac:dyDescent="0.35">
      <c r="A111" s="21">
        <v>107</v>
      </c>
      <c r="B111" s="22" t="s">
        <v>732</v>
      </c>
      <c r="C111" s="14" t="s">
        <v>758</v>
      </c>
      <c r="D111" s="23" t="s">
        <v>35</v>
      </c>
      <c r="E111" s="23" t="s">
        <v>616</v>
      </c>
      <c r="F111" s="23" t="s">
        <v>35</v>
      </c>
      <c r="G111" s="23" t="s">
        <v>35</v>
      </c>
      <c r="H111" s="23" t="s">
        <v>35</v>
      </c>
      <c r="I111" s="23" t="s">
        <v>616</v>
      </c>
      <c r="J111" s="23" t="s">
        <v>616</v>
      </c>
      <c r="K111" s="23" t="s">
        <v>35</v>
      </c>
      <c r="L111" s="23" t="s">
        <v>35</v>
      </c>
      <c r="M111" s="24">
        <f t="shared" si="5"/>
        <v>0</v>
      </c>
      <c r="N111" s="24">
        <f t="shared" si="6"/>
        <v>3</v>
      </c>
      <c r="O111" s="24">
        <f t="shared" si="7"/>
        <v>6</v>
      </c>
      <c r="P111" s="24">
        <f t="shared" si="8"/>
        <v>0</v>
      </c>
      <c r="Q111" s="25">
        <f t="shared" si="9"/>
        <v>0.16666666666666666</v>
      </c>
      <c r="R111" s="26" t="s">
        <v>759</v>
      </c>
    </row>
    <row r="112" spans="1:18" ht="25.5" customHeight="1" x14ac:dyDescent="0.35">
      <c r="A112" s="21">
        <v>108</v>
      </c>
      <c r="B112" s="22" t="s">
        <v>732</v>
      </c>
      <c r="C112" s="14" t="s">
        <v>760</v>
      </c>
      <c r="D112" s="23" t="s">
        <v>35</v>
      </c>
      <c r="E112" s="23" t="s">
        <v>33</v>
      </c>
      <c r="F112" s="23" t="s">
        <v>35</v>
      </c>
      <c r="G112" s="23" t="s">
        <v>35</v>
      </c>
      <c r="H112" s="23" t="s">
        <v>35</v>
      </c>
      <c r="I112" s="23" t="s">
        <v>37</v>
      </c>
      <c r="J112" s="23" t="s">
        <v>35</v>
      </c>
      <c r="K112" s="23" t="s">
        <v>35</v>
      </c>
      <c r="L112" s="23" t="s">
        <v>35</v>
      </c>
      <c r="M112" s="24">
        <f t="shared" si="5"/>
        <v>0</v>
      </c>
      <c r="N112" s="24">
        <f t="shared" si="6"/>
        <v>1</v>
      </c>
      <c r="O112" s="24">
        <f t="shared" si="7"/>
        <v>7</v>
      </c>
      <c r="P112" s="24">
        <f t="shared" si="8"/>
        <v>1</v>
      </c>
      <c r="Q112" s="25">
        <f t="shared" si="9"/>
        <v>5.5555555555555552E-2</v>
      </c>
      <c r="R112" s="26" t="s">
        <v>761</v>
      </c>
    </row>
    <row r="113" spans="1:18" ht="25.5" customHeight="1" x14ac:dyDescent="0.35">
      <c r="A113" s="21">
        <v>109</v>
      </c>
      <c r="B113" s="22" t="s">
        <v>732</v>
      </c>
      <c r="C113" s="14" t="s">
        <v>762</v>
      </c>
      <c r="D113" s="23" t="s">
        <v>33</v>
      </c>
      <c r="E113" s="23" t="s">
        <v>31</v>
      </c>
      <c r="F113" s="23" t="s">
        <v>33</v>
      </c>
      <c r="G113" s="23" t="s">
        <v>31</v>
      </c>
      <c r="H113" s="23" t="s">
        <v>31</v>
      </c>
      <c r="I113" s="23" t="s">
        <v>37</v>
      </c>
      <c r="J113" s="23" t="s">
        <v>33</v>
      </c>
      <c r="K113" s="23" t="s">
        <v>31</v>
      </c>
      <c r="L113" s="23" t="s">
        <v>35</v>
      </c>
      <c r="M113" s="24">
        <f t="shared" si="5"/>
        <v>4</v>
      </c>
      <c r="N113" s="24">
        <f t="shared" si="6"/>
        <v>3</v>
      </c>
      <c r="O113" s="24">
        <f t="shared" si="7"/>
        <v>1</v>
      </c>
      <c r="P113" s="24">
        <f t="shared" si="8"/>
        <v>1</v>
      </c>
      <c r="Q113" s="25">
        <f t="shared" si="9"/>
        <v>0.61111111111111116</v>
      </c>
      <c r="R113" s="26" t="s">
        <v>763</v>
      </c>
    </row>
    <row r="114" spans="1:18" ht="25.5" customHeight="1" x14ac:dyDescent="0.35">
      <c r="A114" s="21">
        <v>110</v>
      </c>
      <c r="B114" s="22" t="s">
        <v>732</v>
      </c>
      <c r="C114" s="14" t="s">
        <v>764</v>
      </c>
      <c r="D114" s="23" t="s">
        <v>31</v>
      </c>
      <c r="E114" s="23" t="s">
        <v>31</v>
      </c>
      <c r="F114" s="23" t="s">
        <v>31</v>
      </c>
      <c r="G114" s="23" t="s">
        <v>31</v>
      </c>
      <c r="H114" s="23" t="s">
        <v>31</v>
      </c>
      <c r="I114" s="23" t="s">
        <v>31</v>
      </c>
      <c r="J114" s="23" t="s">
        <v>31</v>
      </c>
      <c r="K114" s="23" t="s">
        <v>31</v>
      </c>
      <c r="L114" s="23" t="s">
        <v>33</v>
      </c>
      <c r="M114" s="24">
        <f t="shared" si="5"/>
        <v>8</v>
      </c>
      <c r="N114" s="24">
        <f t="shared" si="6"/>
        <v>1</v>
      </c>
      <c r="O114" s="24">
        <f t="shared" si="7"/>
        <v>0</v>
      </c>
      <c r="P114" s="24">
        <f t="shared" si="8"/>
        <v>0</v>
      </c>
      <c r="Q114" s="25">
        <f t="shared" si="9"/>
        <v>0.94444444444444442</v>
      </c>
      <c r="R114" s="26"/>
    </row>
    <row r="115" spans="1:18" ht="25.5" customHeight="1" x14ac:dyDescent="0.35">
      <c r="A115" s="21">
        <v>111</v>
      </c>
      <c r="B115" s="22" t="s">
        <v>732</v>
      </c>
      <c r="C115" s="14" t="s">
        <v>765</v>
      </c>
      <c r="D115" s="23" t="s">
        <v>31</v>
      </c>
      <c r="E115" s="23" t="s">
        <v>31</v>
      </c>
      <c r="F115" s="23" t="s">
        <v>31</v>
      </c>
      <c r="G115" s="23" t="s">
        <v>33</v>
      </c>
      <c r="H115" s="23" t="s">
        <v>31</v>
      </c>
      <c r="I115" s="23" t="s">
        <v>31</v>
      </c>
      <c r="J115" s="23" t="s">
        <v>31</v>
      </c>
      <c r="K115" s="23" t="s">
        <v>31</v>
      </c>
      <c r="L115" s="23" t="s">
        <v>33</v>
      </c>
      <c r="M115" s="24">
        <f t="shared" si="5"/>
        <v>7</v>
      </c>
      <c r="N115" s="24">
        <f t="shared" si="6"/>
        <v>2</v>
      </c>
      <c r="O115" s="24">
        <f t="shared" si="7"/>
        <v>0</v>
      </c>
      <c r="P115" s="24">
        <f t="shared" si="8"/>
        <v>0</v>
      </c>
      <c r="Q115" s="25">
        <f t="shared" si="9"/>
        <v>0.88888888888888884</v>
      </c>
      <c r="R115" s="26"/>
    </row>
    <row r="116" spans="1:18" ht="25.5" customHeight="1" x14ac:dyDescent="0.35">
      <c r="A116" s="21">
        <v>112</v>
      </c>
      <c r="B116" s="22" t="s">
        <v>732</v>
      </c>
      <c r="C116" s="14" t="s">
        <v>766</v>
      </c>
      <c r="D116" s="23" t="s">
        <v>31</v>
      </c>
      <c r="E116" s="23" t="s">
        <v>31</v>
      </c>
      <c r="F116" s="23" t="s">
        <v>31</v>
      </c>
      <c r="G116" s="23" t="s">
        <v>31</v>
      </c>
      <c r="H116" s="23" t="s">
        <v>33</v>
      </c>
      <c r="I116" s="23" t="s">
        <v>31</v>
      </c>
      <c r="J116" s="23" t="s">
        <v>31</v>
      </c>
      <c r="K116" s="23" t="s">
        <v>767</v>
      </c>
      <c r="L116" s="23" t="s">
        <v>31</v>
      </c>
      <c r="M116" s="24">
        <f t="shared" si="5"/>
        <v>7</v>
      </c>
      <c r="N116" s="24">
        <f t="shared" si="6"/>
        <v>2</v>
      </c>
      <c r="O116" s="24">
        <f t="shared" si="7"/>
        <v>0</v>
      </c>
      <c r="P116" s="24">
        <f t="shared" si="8"/>
        <v>0</v>
      </c>
      <c r="Q116" s="25">
        <f t="shared" si="9"/>
        <v>0.88888888888888884</v>
      </c>
      <c r="R116" s="26" t="s">
        <v>768</v>
      </c>
    </row>
    <row r="117" spans="1:18" ht="25.5" customHeight="1" x14ac:dyDescent="0.35">
      <c r="A117" s="21">
        <v>113</v>
      </c>
      <c r="B117" s="22" t="s">
        <v>732</v>
      </c>
      <c r="C117" s="14" t="s">
        <v>769</v>
      </c>
      <c r="D117" s="23" t="s">
        <v>31</v>
      </c>
      <c r="E117" s="23" t="s">
        <v>33</v>
      </c>
      <c r="F117" s="23" t="s">
        <v>35</v>
      </c>
      <c r="G117" s="23" t="s">
        <v>33</v>
      </c>
      <c r="H117" s="23" t="s">
        <v>35</v>
      </c>
      <c r="I117" s="23" t="s">
        <v>33</v>
      </c>
      <c r="J117" s="23" t="s">
        <v>31</v>
      </c>
      <c r="K117" s="23" t="s">
        <v>35</v>
      </c>
      <c r="L117" s="23" t="s">
        <v>35</v>
      </c>
      <c r="M117" s="24">
        <f t="shared" si="5"/>
        <v>2</v>
      </c>
      <c r="N117" s="24">
        <f t="shared" si="6"/>
        <v>3</v>
      </c>
      <c r="O117" s="24">
        <f t="shared" si="7"/>
        <v>4</v>
      </c>
      <c r="P117" s="24">
        <f t="shared" si="8"/>
        <v>0</v>
      </c>
      <c r="Q117" s="25">
        <f t="shared" si="9"/>
        <v>0.3888888888888889</v>
      </c>
      <c r="R117" s="26" t="s">
        <v>770</v>
      </c>
    </row>
    <row r="118" spans="1:18" ht="25.5" customHeight="1" x14ac:dyDescent="0.35">
      <c r="A118" s="21">
        <v>114</v>
      </c>
      <c r="B118" s="22" t="s">
        <v>732</v>
      </c>
      <c r="C118" s="14" t="s">
        <v>771</v>
      </c>
      <c r="D118" s="23" t="s">
        <v>37</v>
      </c>
      <c r="E118" s="23" t="s">
        <v>37</v>
      </c>
      <c r="F118" s="23" t="s">
        <v>37</v>
      </c>
      <c r="G118" s="23" t="s">
        <v>37</v>
      </c>
      <c r="H118" s="23" t="s">
        <v>31</v>
      </c>
      <c r="I118" s="23" t="s">
        <v>37</v>
      </c>
      <c r="J118" s="23" t="s">
        <v>37</v>
      </c>
      <c r="K118" s="23" t="s">
        <v>33</v>
      </c>
      <c r="L118" s="23" t="s">
        <v>37</v>
      </c>
      <c r="M118" s="24">
        <f t="shared" si="5"/>
        <v>1</v>
      </c>
      <c r="N118" s="24">
        <f t="shared" si="6"/>
        <v>1</v>
      </c>
      <c r="O118" s="24">
        <f t="shared" si="7"/>
        <v>0</v>
      </c>
      <c r="P118" s="24">
        <f t="shared" si="8"/>
        <v>7</v>
      </c>
      <c r="Q118" s="25">
        <f t="shared" si="9"/>
        <v>0.16666666666666666</v>
      </c>
      <c r="R118" s="26" t="s">
        <v>772</v>
      </c>
    </row>
    <row r="119" spans="1:18" ht="25.5" customHeight="1" x14ac:dyDescent="0.35">
      <c r="A119" s="21">
        <v>115</v>
      </c>
      <c r="B119" s="22" t="s">
        <v>732</v>
      </c>
      <c r="C119" s="14" t="s">
        <v>773</v>
      </c>
      <c r="D119" s="23" t="s">
        <v>37</v>
      </c>
      <c r="E119" s="23" t="s">
        <v>37</v>
      </c>
      <c r="F119" s="23" t="s">
        <v>37</v>
      </c>
      <c r="G119" s="23" t="s">
        <v>37</v>
      </c>
      <c r="H119" s="23" t="s">
        <v>33</v>
      </c>
      <c r="I119" s="23" t="s">
        <v>37</v>
      </c>
      <c r="J119" s="23" t="s">
        <v>37</v>
      </c>
      <c r="K119" s="23" t="s">
        <v>37</v>
      </c>
      <c r="L119" s="23" t="s">
        <v>35</v>
      </c>
      <c r="M119" s="24">
        <f t="shared" si="5"/>
        <v>0</v>
      </c>
      <c r="N119" s="24">
        <f t="shared" si="6"/>
        <v>1</v>
      </c>
      <c r="O119" s="24">
        <f t="shared" si="7"/>
        <v>1</v>
      </c>
      <c r="P119" s="24">
        <f t="shared" si="8"/>
        <v>7</v>
      </c>
      <c r="Q119" s="25">
        <f t="shared" si="9"/>
        <v>5.5555555555555552E-2</v>
      </c>
      <c r="R119" s="26" t="s">
        <v>774</v>
      </c>
    </row>
    <row r="120" spans="1:18" ht="25.5" customHeight="1" x14ac:dyDescent="0.35">
      <c r="A120" s="21">
        <v>116</v>
      </c>
      <c r="B120" s="22" t="s">
        <v>732</v>
      </c>
      <c r="C120" s="14" t="s">
        <v>775</v>
      </c>
      <c r="D120" s="23" t="s">
        <v>35</v>
      </c>
      <c r="E120" s="23" t="s">
        <v>35</v>
      </c>
      <c r="F120" s="23" t="s">
        <v>35</v>
      </c>
      <c r="G120" s="23" t="s">
        <v>35</v>
      </c>
      <c r="H120" s="23" t="s">
        <v>33</v>
      </c>
      <c r="I120" s="23" t="s">
        <v>35</v>
      </c>
      <c r="J120" s="23" t="s">
        <v>35</v>
      </c>
      <c r="K120" s="23" t="s">
        <v>35</v>
      </c>
      <c r="L120" s="23" t="s">
        <v>35</v>
      </c>
      <c r="M120" s="24">
        <f t="shared" si="5"/>
        <v>0</v>
      </c>
      <c r="N120" s="24">
        <f t="shared" si="6"/>
        <v>1</v>
      </c>
      <c r="O120" s="24">
        <f t="shared" si="7"/>
        <v>8</v>
      </c>
      <c r="P120" s="24">
        <f t="shared" si="8"/>
        <v>0</v>
      </c>
      <c r="Q120" s="25">
        <f t="shared" si="9"/>
        <v>5.5555555555555552E-2</v>
      </c>
      <c r="R120" s="26" t="s">
        <v>776</v>
      </c>
    </row>
    <row r="121" spans="1:18" ht="25.5" customHeight="1" x14ac:dyDescent="0.35">
      <c r="A121" s="21">
        <v>117</v>
      </c>
      <c r="B121" s="22" t="s">
        <v>777</v>
      </c>
      <c r="C121" s="14" t="s">
        <v>778</v>
      </c>
      <c r="D121" s="23" t="s">
        <v>31</v>
      </c>
      <c r="E121" s="23" t="s">
        <v>31</v>
      </c>
      <c r="F121" s="23" t="s">
        <v>33</v>
      </c>
      <c r="G121" s="23" t="s">
        <v>31</v>
      </c>
      <c r="H121" s="23" t="s">
        <v>35</v>
      </c>
      <c r="I121" s="23" t="s">
        <v>31</v>
      </c>
      <c r="J121" s="23" t="s">
        <v>31</v>
      </c>
      <c r="K121" s="23" t="s">
        <v>31</v>
      </c>
      <c r="L121" s="23" t="s">
        <v>31</v>
      </c>
      <c r="M121" s="24">
        <f t="shared" si="5"/>
        <v>7</v>
      </c>
      <c r="N121" s="24">
        <f t="shared" si="6"/>
        <v>1</v>
      </c>
      <c r="O121" s="24">
        <f t="shared" si="7"/>
        <v>1</v>
      </c>
      <c r="P121" s="24">
        <f t="shared" si="8"/>
        <v>0</v>
      </c>
      <c r="Q121" s="25">
        <f t="shared" si="9"/>
        <v>0.83333333333333337</v>
      </c>
      <c r="R121" s="26"/>
    </row>
    <row r="122" spans="1:18" ht="25.5" customHeight="1" x14ac:dyDescent="0.35">
      <c r="A122" s="21">
        <v>118</v>
      </c>
      <c r="B122" s="22" t="s">
        <v>777</v>
      </c>
      <c r="C122" s="14" t="s">
        <v>779</v>
      </c>
      <c r="D122" s="23" t="s">
        <v>31</v>
      </c>
      <c r="E122" s="23" t="s">
        <v>31</v>
      </c>
      <c r="F122" s="23" t="s">
        <v>35</v>
      </c>
      <c r="G122" s="23" t="s">
        <v>31</v>
      </c>
      <c r="H122" s="23" t="s">
        <v>35</v>
      </c>
      <c r="I122" s="23" t="s">
        <v>31</v>
      </c>
      <c r="J122" s="23" t="s">
        <v>31</v>
      </c>
      <c r="K122" s="23" t="s">
        <v>33</v>
      </c>
      <c r="L122" s="23" t="s">
        <v>31</v>
      </c>
      <c r="M122" s="24">
        <f t="shared" si="5"/>
        <v>6</v>
      </c>
      <c r="N122" s="24">
        <f t="shared" si="6"/>
        <v>1</v>
      </c>
      <c r="O122" s="24">
        <f t="shared" si="7"/>
        <v>2</v>
      </c>
      <c r="P122" s="24">
        <f t="shared" si="8"/>
        <v>0</v>
      </c>
      <c r="Q122" s="25">
        <f t="shared" si="9"/>
        <v>0.72222222222222221</v>
      </c>
      <c r="R122" s="26" t="s">
        <v>780</v>
      </c>
    </row>
    <row r="123" spans="1:18" ht="25.5" customHeight="1" x14ac:dyDescent="0.35">
      <c r="A123" s="21">
        <v>119</v>
      </c>
      <c r="B123" s="22" t="s">
        <v>777</v>
      </c>
      <c r="C123" s="14" t="s">
        <v>781</v>
      </c>
      <c r="D123" s="23" t="s">
        <v>31</v>
      </c>
      <c r="E123" s="23" t="s">
        <v>31</v>
      </c>
      <c r="F123" s="23" t="s">
        <v>31</v>
      </c>
      <c r="G123" s="23" t="s">
        <v>31</v>
      </c>
      <c r="H123" s="23" t="s">
        <v>31</v>
      </c>
      <c r="I123" s="23" t="s">
        <v>31</v>
      </c>
      <c r="J123" s="23" t="s">
        <v>31</v>
      </c>
      <c r="K123" s="23" t="s">
        <v>31</v>
      </c>
      <c r="L123" s="23" t="s">
        <v>31</v>
      </c>
      <c r="M123" s="24">
        <f t="shared" si="5"/>
        <v>9</v>
      </c>
      <c r="N123" s="24">
        <f t="shared" si="6"/>
        <v>0</v>
      </c>
      <c r="O123" s="24">
        <f t="shared" si="7"/>
        <v>0</v>
      </c>
      <c r="P123" s="24">
        <f t="shared" si="8"/>
        <v>0</v>
      </c>
      <c r="Q123" s="25">
        <f t="shared" si="9"/>
        <v>1</v>
      </c>
      <c r="R123" s="26"/>
    </row>
    <row r="124" spans="1:18" ht="25.5" customHeight="1" x14ac:dyDescent="0.35">
      <c r="A124" s="21">
        <v>120</v>
      </c>
      <c r="B124" s="22" t="s">
        <v>777</v>
      </c>
      <c r="C124" s="14" t="s">
        <v>782</v>
      </c>
      <c r="D124" s="23" t="s">
        <v>33</v>
      </c>
      <c r="E124" s="23" t="s">
        <v>33</v>
      </c>
      <c r="F124" s="23" t="s">
        <v>33</v>
      </c>
      <c r="G124" s="23" t="s">
        <v>33</v>
      </c>
      <c r="H124" s="23" t="s">
        <v>33</v>
      </c>
      <c r="I124" s="23" t="s">
        <v>33</v>
      </c>
      <c r="J124" s="23" t="s">
        <v>33</v>
      </c>
      <c r="K124" s="23" t="s">
        <v>33</v>
      </c>
      <c r="L124" s="23" t="s">
        <v>33</v>
      </c>
      <c r="M124" s="24">
        <f t="shared" si="5"/>
        <v>0</v>
      </c>
      <c r="N124" s="24">
        <f t="shared" si="6"/>
        <v>9</v>
      </c>
      <c r="O124" s="24">
        <f t="shared" si="7"/>
        <v>0</v>
      </c>
      <c r="P124" s="24">
        <f t="shared" si="8"/>
        <v>0</v>
      </c>
      <c r="Q124" s="25">
        <f t="shared" si="9"/>
        <v>0.5</v>
      </c>
      <c r="R124" s="26" t="s">
        <v>783</v>
      </c>
    </row>
    <row r="125" spans="1:18" ht="25.5" customHeight="1" x14ac:dyDescent="0.35">
      <c r="A125" s="21">
        <v>121</v>
      </c>
      <c r="B125" s="22" t="s">
        <v>777</v>
      </c>
      <c r="C125" s="14" t="s">
        <v>784</v>
      </c>
      <c r="D125" s="23" t="s">
        <v>33</v>
      </c>
      <c r="E125" s="23" t="s">
        <v>31</v>
      </c>
      <c r="F125" s="23" t="s">
        <v>33</v>
      </c>
      <c r="G125" s="23" t="s">
        <v>31</v>
      </c>
      <c r="H125" s="23" t="s">
        <v>35</v>
      </c>
      <c r="I125" s="23" t="s">
        <v>31</v>
      </c>
      <c r="J125" s="23" t="s">
        <v>31</v>
      </c>
      <c r="K125" s="23" t="s">
        <v>33</v>
      </c>
      <c r="L125" s="23" t="s">
        <v>31</v>
      </c>
      <c r="M125" s="24">
        <f t="shared" si="5"/>
        <v>5</v>
      </c>
      <c r="N125" s="24">
        <f t="shared" si="6"/>
        <v>3</v>
      </c>
      <c r="O125" s="24">
        <f t="shared" si="7"/>
        <v>1</v>
      </c>
      <c r="P125" s="24">
        <f t="shared" si="8"/>
        <v>0</v>
      </c>
      <c r="Q125" s="25">
        <f t="shared" si="9"/>
        <v>0.72222222222222221</v>
      </c>
      <c r="R125" s="26"/>
    </row>
    <row r="126" spans="1:18" ht="25.5" customHeight="1" x14ac:dyDescent="0.35">
      <c r="A126" s="21">
        <v>122</v>
      </c>
      <c r="B126" s="22" t="s">
        <v>777</v>
      </c>
      <c r="C126" s="14" t="s">
        <v>785</v>
      </c>
      <c r="D126" s="23" t="s">
        <v>35</v>
      </c>
      <c r="E126" s="23" t="s">
        <v>33</v>
      </c>
      <c r="F126" s="23" t="s">
        <v>33</v>
      </c>
      <c r="G126" s="23" t="s">
        <v>33</v>
      </c>
      <c r="H126" s="23" t="s">
        <v>33</v>
      </c>
      <c r="I126" s="23" t="s">
        <v>33</v>
      </c>
      <c r="J126" s="23" t="s">
        <v>33</v>
      </c>
      <c r="K126" s="23" t="s">
        <v>33</v>
      </c>
      <c r="L126" s="23" t="s">
        <v>35</v>
      </c>
      <c r="M126" s="24">
        <f t="shared" si="5"/>
        <v>0</v>
      </c>
      <c r="N126" s="24">
        <f t="shared" si="6"/>
        <v>7</v>
      </c>
      <c r="O126" s="24">
        <f t="shared" si="7"/>
        <v>2</v>
      </c>
      <c r="P126" s="24">
        <f t="shared" si="8"/>
        <v>0</v>
      </c>
      <c r="Q126" s="25">
        <f t="shared" si="9"/>
        <v>0.3888888888888889</v>
      </c>
      <c r="R126" s="26" t="s">
        <v>786</v>
      </c>
    </row>
    <row r="127" spans="1:18" ht="25.5" customHeight="1" x14ac:dyDescent="0.35">
      <c r="A127" s="21">
        <v>123</v>
      </c>
      <c r="B127" s="22" t="s">
        <v>787</v>
      </c>
      <c r="C127" s="14" t="s">
        <v>788</v>
      </c>
      <c r="D127" s="23" t="s">
        <v>31</v>
      </c>
      <c r="E127" s="23" t="s">
        <v>31</v>
      </c>
      <c r="F127" s="23" t="s">
        <v>31</v>
      </c>
      <c r="G127" s="23" t="s">
        <v>31</v>
      </c>
      <c r="H127" s="23" t="s">
        <v>31</v>
      </c>
      <c r="I127" s="23" t="s">
        <v>31</v>
      </c>
      <c r="J127" s="23" t="s">
        <v>31</v>
      </c>
      <c r="K127" s="23" t="s">
        <v>31</v>
      </c>
      <c r="L127" s="23" t="s">
        <v>33</v>
      </c>
      <c r="M127" s="24">
        <f t="shared" si="5"/>
        <v>8</v>
      </c>
      <c r="N127" s="24">
        <f t="shared" si="6"/>
        <v>1</v>
      </c>
      <c r="O127" s="24">
        <f t="shared" si="7"/>
        <v>0</v>
      </c>
      <c r="P127" s="24">
        <f t="shared" si="8"/>
        <v>0</v>
      </c>
      <c r="Q127" s="25">
        <f t="shared" si="9"/>
        <v>0.94444444444444442</v>
      </c>
      <c r="R127" s="26" t="s">
        <v>789</v>
      </c>
    </row>
    <row r="128" spans="1:18" ht="25.5" customHeight="1" x14ac:dyDescent="0.35">
      <c r="A128" s="21">
        <v>124</v>
      </c>
      <c r="B128" s="22" t="s">
        <v>787</v>
      </c>
      <c r="C128" s="14" t="s">
        <v>790</v>
      </c>
      <c r="D128" s="23" t="s">
        <v>33</v>
      </c>
      <c r="E128" s="23" t="s">
        <v>31</v>
      </c>
      <c r="F128" s="23" t="s">
        <v>31</v>
      </c>
      <c r="G128" s="23" t="s">
        <v>31</v>
      </c>
      <c r="H128" s="23" t="s">
        <v>31</v>
      </c>
      <c r="I128" s="23" t="s">
        <v>31</v>
      </c>
      <c r="J128" s="23" t="s">
        <v>31</v>
      </c>
      <c r="K128" s="23" t="s">
        <v>33</v>
      </c>
      <c r="L128" s="23" t="s">
        <v>33</v>
      </c>
      <c r="M128" s="24">
        <f t="shared" si="5"/>
        <v>6</v>
      </c>
      <c r="N128" s="24">
        <f t="shared" si="6"/>
        <v>3</v>
      </c>
      <c r="O128" s="24">
        <f t="shared" si="7"/>
        <v>0</v>
      </c>
      <c r="P128" s="24">
        <f t="shared" si="8"/>
        <v>0</v>
      </c>
      <c r="Q128" s="25">
        <f t="shared" si="9"/>
        <v>0.83333333333333337</v>
      </c>
      <c r="R128" s="26"/>
    </row>
    <row r="129" spans="1:18" ht="25.5" customHeight="1" x14ac:dyDescent="0.35">
      <c r="A129" s="21">
        <v>125</v>
      </c>
      <c r="B129" s="22" t="s">
        <v>787</v>
      </c>
      <c r="C129" s="14" t="s">
        <v>791</v>
      </c>
      <c r="D129" s="23" t="s">
        <v>35</v>
      </c>
      <c r="E129" s="23" t="s">
        <v>613</v>
      </c>
      <c r="F129" s="23" t="s">
        <v>35</v>
      </c>
      <c r="G129" s="23" t="s">
        <v>33</v>
      </c>
      <c r="H129" s="23" t="s">
        <v>35</v>
      </c>
      <c r="I129" s="23" t="s">
        <v>31</v>
      </c>
      <c r="J129" s="23" t="s">
        <v>35</v>
      </c>
      <c r="K129" s="23" t="s">
        <v>35</v>
      </c>
      <c r="L129" s="23" t="s">
        <v>35</v>
      </c>
      <c r="M129" s="24">
        <f t="shared" si="5"/>
        <v>2</v>
      </c>
      <c r="N129" s="24">
        <f t="shared" si="6"/>
        <v>1</v>
      </c>
      <c r="O129" s="24">
        <f t="shared" si="7"/>
        <v>6</v>
      </c>
      <c r="P129" s="24">
        <f t="shared" si="8"/>
        <v>0</v>
      </c>
      <c r="Q129" s="25">
        <f t="shared" si="9"/>
        <v>0.27777777777777779</v>
      </c>
      <c r="R129" s="26" t="s">
        <v>792</v>
      </c>
    </row>
    <row r="130" spans="1:18" ht="25.5" customHeight="1" x14ac:dyDescent="0.35">
      <c r="A130" s="21">
        <v>126</v>
      </c>
      <c r="B130" s="22" t="s">
        <v>787</v>
      </c>
      <c r="C130" s="14" t="s">
        <v>793</v>
      </c>
      <c r="D130" s="23" t="s">
        <v>35</v>
      </c>
      <c r="E130" s="23" t="s">
        <v>613</v>
      </c>
      <c r="F130" s="23" t="s">
        <v>35</v>
      </c>
      <c r="G130" s="23" t="s">
        <v>33</v>
      </c>
      <c r="H130" s="23" t="s">
        <v>35</v>
      </c>
      <c r="I130" s="23" t="s">
        <v>31</v>
      </c>
      <c r="J130" s="23" t="s">
        <v>35</v>
      </c>
      <c r="K130" s="23" t="s">
        <v>35</v>
      </c>
      <c r="L130" s="23" t="s">
        <v>35</v>
      </c>
      <c r="M130" s="24">
        <f t="shared" si="5"/>
        <v>2</v>
      </c>
      <c r="N130" s="24">
        <f t="shared" si="6"/>
        <v>1</v>
      </c>
      <c r="O130" s="24">
        <f t="shared" si="7"/>
        <v>6</v>
      </c>
      <c r="P130" s="24">
        <f t="shared" si="8"/>
        <v>0</v>
      </c>
      <c r="Q130" s="25">
        <f t="shared" si="9"/>
        <v>0.27777777777777779</v>
      </c>
      <c r="R130" s="26" t="s">
        <v>794</v>
      </c>
    </row>
    <row r="131" spans="1:18" ht="25.5" customHeight="1" x14ac:dyDescent="0.35">
      <c r="A131" s="21">
        <v>127</v>
      </c>
      <c r="B131" s="22" t="s">
        <v>787</v>
      </c>
      <c r="C131" s="14" t="s">
        <v>795</v>
      </c>
      <c r="D131" s="23" t="s">
        <v>33</v>
      </c>
      <c r="E131" s="23" t="s">
        <v>33</v>
      </c>
      <c r="F131" s="23" t="s">
        <v>35</v>
      </c>
      <c r="G131" s="23" t="s">
        <v>35</v>
      </c>
      <c r="H131" s="23" t="s">
        <v>35</v>
      </c>
      <c r="I131" s="23" t="s">
        <v>37</v>
      </c>
      <c r="J131" s="23" t="s">
        <v>37</v>
      </c>
      <c r="K131" s="23" t="s">
        <v>35</v>
      </c>
      <c r="L131" s="23" t="s">
        <v>35</v>
      </c>
      <c r="M131" s="24">
        <f t="shared" si="5"/>
        <v>0</v>
      </c>
      <c r="N131" s="24">
        <f t="shared" si="6"/>
        <v>2</v>
      </c>
      <c r="O131" s="24">
        <f t="shared" si="7"/>
        <v>5</v>
      </c>
      <c r="P131" s="24">
        <f t="shared" si="8"/>
        <v>2</v>
      </c>
      <c r="Q131" s="25">
        <f t="shared" si="9"/>
        <v>0.1111111111111111</v>
      </c>
      <c r="R131" s="26" t="s">
        <v>796</v>
      </c>
    </row>
    <row r="132" spans="1:18" ht="25.5" customHeight="1" x14ac:dyDescent="0.35">
      <c r="A132" s="21">
        <v>128</v>
      </c>
      <c r="B132" s="22" t="s">
        <v>787</v>
      </c>
      <c r="C132" s="14" t="s">
        <v>797</v>
      </c>
      <c r="D132" s="23" t="s">
        <v>35</v>
      </c>
      <c r="E132" s="23" t="s">
        <v>35</v>
      </c>
      <c r="F132" s="23" t="s">
        <v>35</v>
      </c>
      <c r="G132" s="23" t="s">
        <v>35</v>
      </c>
      <c r="H132" s="23" t="s">
        <v>35</v>
      </c>
      <c r="I132" s="23" t="s">
        <v>37</v>
      </c>
      <c r="J132" s="23" t="s">
        <v>35</v>
      </c>
      <c r="K132" s="23" t="s">
        <v>35</v>
      </c>
      <c r="L132" s="23" t="s">
        <v>35</v>
      </c>
      <c r="M132" s="24">
        <f t="shared" si="5"/>
        <v>0</v>
      </c>
      <c r="N132" s="24">
        <f t="shared" si="6"/>
        <v>0</v>
      </c>
      <c r="O132" s="24">
        <f t="shared" si="7"/>
        <v>8</v>
      </c>
      <c r="P132" s="24">
        <f t="shared" si="8"/>
        <v>1</v>
      </c>
      <c r="Q132" s="25">
        <f t="shared" si="9"/>
        <v>0</v>
      </c>
      <c r="R132" s="26" t="s">
        <v>798</v>
      </c>
    </row>
    <row r="133" spans="1:18" ht="25.5" customHeight="1" x14ac:dyDescent="0.35">
      <c r="A133" s="21">
        <v>129</v>
      </c>
      <c r="B133" s="22" t="s">
        <v>787</v>
      </c>
      <c r="C133" s="14" t="s">
        <v>799</v>
      </c>
      <c r="D133" s="23" t="s">
        <v>35</v>
      </c>
      <c r="E133" s="23" t="s">
        <v>31</v>
      </c>
      <c r="F133" s="23" t="s">
        <v>33</v>
      </c>
      <c r="G133" s="23" t="s">
        <v>35</v>
      </c>
      <c r="H133" s="23" t="s">
        <v>35</v>
      </c>
      <c r="I133" s="23" t="s">
        <v>31</v>
      </c>
      <c r="J133" s="23" t="s">
        <v>35</v>
      </c>
      <c r="K133" s="23" t="s">
        <v>35</v>
      </c>
      <c r="L133" s="23" t="s">
        <v>35</v>
      </c>
      <c r="M133" s="24">
        <f t="shared" ref="M133:M196" si="10">SUMPRODUCT(--ISNUMBER(SEARCH("✓",D133:L133)))</f>
        <v>2</v>
      </c>
      <c r="N133" s="24">
        <f t="shared" ref="N133:N196" si="11">SUMPRODUCT(--ISNUMBER(SEARCH("◐",D133:L133)))</f>
        <v>1</v>
      </c>
      <c r="O133" s="24">
        <f t="shared" ref="O133:O196" si="12">SUMPRODUCT(--ISNUMBER(SEARCH("—",D133:L133)))</f>
        <v>6</v>
      </c>
      <c r="P133" s="24">
        <f t="shared" ref="P133:P196" si="13">9-M133-N133-O133</f>
        <v>0</v>
      </c>
      <c r="Q133" s="25">
        <f t="shared" ref="Q133:Q196" si="14">(M133+0.5*N133)/9</f>
        <v>0.27777777777777779</v>
      </c>
      <c r="R133" s="26" t="s">
        <v>800</v>
      </c>
    </row>
    <row r="134" spans="1:18" ht="25.5" customHeight="1" x14ac:dyDescent="0.35">
      <c r="A134" s="21">
        <v>130</v>
      </c>
      <c r="B134" s="22" t="s">
        <v>801</v>
      </c>
      <c r="C134" s="14" t="s">
        <v>802</v>
      </c>
      <c r="D134" s="23" t="s">
        <v>37</v>
      </c>
      <c r="E134" s="23" t="s">
        <v>37</v>
      </c>
      <c r="F134" s="23" t="s">
        <v>35</v>
      </c>
      <c r="G134" s="23" t="s">
        <v>33</v>
      </c>
      <c r="H134" s="23" t="s">
        <v>35</v>
      </c>
      <c r="I134" s="23" t="s">
        <v>37</v>
      </c>
      <c r="J134" s="23" t="s">
        <v>37</v>
      </c>
      <c r="K134" s="23" t="s">
        <v>37</v>
      </c>
      <c r="L134" s="23" t="s">
        <v>37</v>
      </c>
      <c r="M134" s="24">
        <f t="shared" si="10"/>
        <v>0</v>
      </c>
      <c r="N134" s="24">
        <f t="shared" si="11"/>
        <v>1</v>
      </c>
      <c r="O134" s="24">
        <f t="shared" si="12"/>
        <v>2</v>
      </c>
      <c r="P134" s="24">
        <f t="shared" si="13"/>
        <v>6</v>
      </c>
      <c r="Q134" s="25">
        <f t="shared" si="14"/>
        <v>5.5555555555555552E-2</v>
      </c>
      <c r="R134" s="26" t="s">
        <v>803</v>
      </c>
    </row>
    <row r="135" spans="1:18" ht="25.5" customHeight="1" x14ac:dyDescent="0.35">
      <c r="A135" s="21">
        <v>131</v>
      </c>
      <c r="B135" s="22" t="s">
        <v>801</v>
      </c>
      <c r="C135" s="14" t="s">
        <v>804</v>
      </c>
      <c r="D135" s="23" t="s">
        <v>37</v>
      </c>
      <c r="E135" s="23" t="s">
        <v>37</v>
      </c>
      <c r="F135" s="23" t="s">
        <v>35</v>
      </c>
      <c r="G135" s="23" t="s">
        <v>33</v>
      </c>
      <c r="H135" s="23" t="s">
        <v>35</v>
      </c>
      <c r="I135" s="23" t="s">
        <v>37</v>
      </c>
      <c r="J135" s="23" t="s">
        <v>37</v>
      </c>
      <c r="K135" s="23" t="s">
        <v>37</v>
      </c>
      <c r="L135" s="23" t="s">
        <v>37</v>
      </c>
      <c r="M135" s="24">
        <f t="shared" si="10"/>
        <v>0</v>
      </c>
      <c r="N135" s="24">
        <f t="shared" si="11"/>
        <v>1</v>
      </c>
      <c r="O135" s="24">
        <f t="shared" si="12"/>
        <v>2</v>
      </c>
      <c r="P135" s="24">
        <f t="shared" si="13"/>
        <v>6</v>
      </c>
      <c r="Q135" s="25">
        <f t="shared" si="14"/>
        <v>5.5555555555555552E-2</v>
      </c>
      <c r="R135" s="26" t="s">
        <v>805</v>
      </c>
    </row>
    <row r="136" spans="1:18" ht="25.5" customHeight="1" x14ac:dyDescent="0.35">
      <c r="A136" s="21">
        <v>132</v>
      </c>
      <c r="B136" s="22" t="s">
        <v>801</v>
      </c>
      <c r="C136" s="14" t="s">
        <v>806</v>
      </c>
      <c r="D136" s="23" t="s">
        <v>33</v>
      </c>
      <c r="E136" s="23" t="s">
        <v>31</v>
      </c>
      <c r="F136" s="23" t="s">
        <v>33</v>
      </c>
      <c r="G136" s="23" t="s">
        <v>31</v>
      </c>
      <c r="H136" s="23" t="s">
        <v>33</v>
      </c>
      <c r="I136" s="23" t="s">
        <v>31</v>
      </c>
      <c r="J136" s="23" t="s">
        <v>31</v>
      </c>
      <c r="K136" s="23" t="s">
        <v>33</v>
      </c>
      <c r="L136" s="23" t="s">
        <v>31</v>
      </c>
      <c r="M136" s="24">
        <f t="shared" si="10"/>
        <v>5</v>
      </c>
      <c r="N136" s="24">
        <f t="shared" si="11"/>
        <v>4</v>
      </c>
      <c r="O136" s="24">
        <f t="shared" si="12"/>
        <v>0</v>
      </c>
      <c r="P136" s="24">
        <f t="shared" si="13"/>
        <v>0</v>
      </c>
      <c r="Q136" s="25">
        <f t="shared" si="14"/>
        <v>0.77777777777777779</v>
      </c>
      <c r="R136" s="26" t="s">
        <v>807</v>
      </c>
    </row>
    <row r="137" spans="1:18" ht="25.5" customHeight="1" x14ac:dyDescent="0.35">
      <c r="A137" s="21">
        <v>133</v>
      </c>
      <c r="B137" s="22" t="s">
        <v>801</v>
      </c>
      <c r="C137" s="14" t="s">
        <v>808</v>
      </c>
      <c r="D137" s="23" t="s">
        <v>33</v>
      </c>
      <c r="E137" s="23" t="s">
        <v>33</v>
      </c>
      <c r="F137" s="23" t="s">
        <v>33</v>
      </c>
      <c r="G137" s="23" t="s">
        <v>33</v>
      </c>
      <c r="H137" s="23" t="s">
        <v>33</v>
      </c>
      <c r="I137" s="23" t="s">
        <v>31</v>
      </c>
      <c r="J137" s="23" t="s">
        <v>33</v>
      </c>
      <c r="K137" s="23" t="s">
        <v>33</v>
      </c>
      <c r="L137" s="23" t="s">
        <v>33</v>
      </c>
      <c r="M137" s="24">
        <f t="shared" si="10"/>
        <v>1</v>
      </c>
      <c r="N137" s="24">
        <f t="shared" si="11"/>
        <v>8</v>
      </c>
      <c r="O137" s="24">
        <f t="shared" si="12"/>
        <v>0</v>
      </c>
      <c r="P137" s="24">
        <f t="shared" si="13"/>
        <v>0</v>
      </c>
      <c r="Q137" s="25">
        <f t="shared" si="14"/>
        <v>0.55555555555555558</v>
      </c>
      <c r="R137" s="26" t="s">
        <v>809</v>
      </c>
    </row>
    <row r="138" spans="1:18" ht="25.5" customHeight="1" x14ac:dyDescent="0.35">
      <c r="A138" s="21">
        <v>134</v>
      </c>
      <c r="B138" s="22" t="s">
        <v>801</v>
      </c>
      <c r="C138" s="14" t="s">
        <v>810</v>
      </c>
      <c r="D138" s="23" t="s">
        <v>31</v>
      </c>
      <c r="E138" s="23" t="s">
        <v>31</v>
      </c>
      <c r="F138" s="23" t="s">
        <v>31</v>
      </c>
      <c r="G138" s="23" t="s">
        <v>31</v>
      </c>
      <c r="H138" s="23" t="s">
        <v>31</v>
      </c>
      <c r="I138" s="23" t="s">
        <v>31</v>
      </c>
      <c r="J138" s="23" t="s">
        <v>31</v>
      </c>
      <c r="K138" s="23" t="s">
        <v>31</v>
      </c>
      <c r="L138" s="23" t="s">
        <v>31</v>
      </c>
      <c r="M138" s="24">
        <f t="shared" si="10"/>
        <v>9</v>
      </c>
      <c r="N138" s="24">
        <f t="shared" si="11"/>
        <v>0</v>
      </c>
      <c r="O138" s="24">
        <f t="shared" si="12"/>
        <v>0</v>
      </c>
      <c r="P138" s="24">
        <f t="shared" si="13"/>
        <v>0</v>
      </c>
      <c r="Q138" s="25">
        <f t="shared" si="14"/>
        <v>1</v>
      </c>
      <c r="R138" s="26"/>
    </row>
    <row r="139" spans="1:18" ht="25.5" customHeight="1" x14ac:dyDescent="0.35">
      <c r="A139" s="21">
        <v>135</v>
      </c>
      <c r="B139" s="22" t="s">
        <v>801</v>
      </c>
      <c r="C139" s="14" t="s">
        <v>811</v>
      </c>
      <c r="D139" s="23" t="s">
        <v>35</v>
      </c>
      <c r="E139" s="23" t="s">
        <v>31</v>
      </c>
      <c r="F139" s="23" t="s">
        <v>33</v>
      </c>
      <c r="G139" s="23" t="s">
        <v>35</v>
      </c>
      <c r="H139" s="23" t="s">
        <v>35</v>
      </c>
      <c r="I139" s="23" t="s">
        <v>31</v>
      </c>
      <c r="J139" s="23" t="s">
        <v>31</v>
      </c>
      <c r="K139" s="23" t="s">
        <v>35</v>
      </c>
      <c r="L139" s="23" t="s">
        <v>35</v>
      </c>
      <c r="M139" s="24">
        <f t="shared" si="10"/>
        <v>3</v>
      </c>
      <c r="N139" s="24">
        <f t="shared" si="11"/>
        <v>1</v>
      </c>
      <c r="O139" s="24">
        <f t="shared" si="12"/>
        <v>5</v>
      </c>
      <c r="P139" s="24">
        <f t="shared" si="13"/>
        <v>0</v>
      </c>
      <c r="Q139" s="25">
        <f t="shared" si="14"/>
        <v>0.3888888888888889</v>
      </c>
      <c r="R139" s="26" t="s">
        <v>812</v>
      </c>
    </row>
    <row r="140" spans="1:18" ht="25.5" customHeight="1" x14ac:dyDescent="0.35">
      <c r="A140" s="21">
        <v>136</v>
      </c>
      <c r="B140" s="22" t="s">
        <v>801</v>
      </c>
      <c r="C140" s="14" t="s">
        <v>813</v>
      </c>
      <c r="D140" s="23" t="s">
        <v>35</v>
      </c>
      <c r="E140" s="23" t="s">
        <v>35</v>
      </c>
      <c r="F140" s="23" t="s">
        <v>35</v>
      </c>
      <c r="G140" s="23" t="s">
        <v>35</v>
      </c>
      <c r="H140" s="23" t="s">
        <v>35</v>
      </c>
      <c r="I140" s="23" t="s">
        <v>33</v>
      </c>
      <c r="J140" s="23" t="s">
        <v>35</v>
      </c>
      <c r="K140" s="23" t="s">
        <v>35</v>
      </c>
      <c r="L140" s="23" t="s">
        <v>35</v>
      </c>
      <c r="M140" s="24">
        <f t="shared" si="10"/>
        <v>0</v>
      </c>
      <c r="N140" s="24">
        <f t="shared" si="11"/>
        <v>1</v>
      </c>
      <c r="O140" s="24">
        <f t="shared" si="12"/>
        <v>8</v>
      </c>
      <c r="P140" s="24">
        <f t="shared" si="13"/>
        <v>0</v>
      </c>
      <c r="Q140" s="25">
        <f t="shared" si="14"/>
        <v>5.5555555555555552E-2</v>
      </c>
      <c r="R140" s="26" t="s">
        <v>814</v>
      </c>
    </row>
    <row r="141" spans="1:18" ht="25.5" customHeight="1" x14ac:dyDescent="0.35">
      <c r="A141" s="21">
        <v>137</v>
      </c>
      <c r="B141" s="22" t="s">
        <v>801</v>
      </c>
      <c r="C141" s="14" t="s">
        <v>815</v>
      </c>
      <c r="D141" s="23" t="s">
        <v>35</v>
      </c>
      <c r="E141" s="23" t="s">
        <v>33</v>
      </c>
      <c r="F141" s="23" t="s">
        <v>33</v>
      </c>
      <c r="G141" s="23" t="s">
        <v>35</v>
      </c>
      <c r="H141" s="23" t="s">
        <v>35</v>
      </c>
      <c r="I141" s="23" t="s">
        <v>35</v>
      </c>
      <c r="J141" s="23" t="s">
        <v>35</v>
      </c>
      <c r="K141" s="23" t="s">
        <v>33</v>
      </c>
      <c r="L141" s="23" t="s">
        <v>35</v>
      </c>
      <c r="M141" s="24">
        <f t="shared" si="10"/>
        <v>0</v>
      </c>
      <c r="N141" s="24">
        <f t="shared" si="11"/>
        <v>3</v>
      </c>
      <c r="O141" s="24">
        <f t="shared" si="12"/>
        <v>6</v>
      </c>
      <c r="P141" s="24">
        <f t="shared" si="13"/>
        <v>0</v>
      </c>
      <c r="Q141" s="25">
        <f t="shared" si="14"/>
        <v>0.16666666666666666</v>
      </c>
      <c r="R141" s="26" t="s">
        <v>816</v>
      </c>
    </row>
    <row r="142" spans="1:18" ht="25.5" customHeight="1" x14ac:dyDescent="0.35">
      <c r="A142" s="21">
        <v>138</v>
      </c>
      <c r="B142" s="22" t="s">
        <v>801</v>
      </c>
      <c r="C142" s="14" t="s">
        <v>817</v>
      </c>
      <c r="D142" s="23" t="s">
        <v>35</v>
      </c>
      <c r="E142" s="23" t="s">
        <v>33</v>
      </c>
      <c r="F142" s="23" t="s">
        <v>35</v>
      </c>
      <c r="G142" s="23" t="s">
        <v>35</v>
      </c>
      <c r="H142" s="23" t="s">
        <v>35</v>
      </c>
      <c r="I142" s="23" t="s">
        <v>37</v>
      </c>
      <c r="J142" s="23" t="s">
        <v>33</v>
      </c>
      <c r="K142" s="23" t="s">
        <v>35</v>
      </c>
      <c r="L142" s="23" t="s">
        <v>35</v>
      </c>
      <c r="M142" s="24">
        <f t="shared" si="10"/>
        <v>0</v>
      </c>
      <c r="N142" s="24">
        <f t="shared" si="11"/>
        <v>2</v>
      </c>
      <c r="O142" s="24">
        <f t="shared" si="12"/>
        <v>6</v>
      </c>
      <c r="P142" s="24">
        <f t="shared" si="13"/>
        <v>1</v>
      </c>
      <c r="Q142" s="25">
        <f t="shared" si="14"/>
        <v>0.1111111111111111</v>
      </c>
      <c r="R142" s="26" t="s">
        <v>818</v>
      </c>
    </row>
    <row r="143" spans="1:18" ht="25.5" customHeight="1" x14ac:dyDescent="0.35">
      <c r="A143" s="21">
        <v>139</v>
      </c>
      <c r="B143" s="22" t="s">
        <v>801</v>
      </c>
      <c r="C143" s="14" t="s">
        <v>819</v>
      </c>
      <c r="D143" s="23" t="s">
        <v>35</v>
      </c>
      <c r="E143" s="23" t="s">
        <v>35</v>
      </c>
      <c r="F143" s="23" t="s">
        <v>35</v>
      </c>
      <c r="G143" s="23" t="s">
        <v>35</v>
      </c>
      <c r="H143" s="23" t="s">
        <v>35</v>
      </c>
      <c r="I143" s="23" t="s">
        <v>35</v>
      </c>
      <c r="J143" s="23" t="s">
        <v>35</v>
      </c>
      <c r="K143" s="23" t="s">
        <v>35</v>
      </c>
      <c r="L143" s="23" t="s">
        <v>35</v>
      </c>
      <c r="M143" s="24">
        <f t="shared" si="10"/>
        <v>0</v>
      </c>
      <c r="N143" s="24">
        <f t="shared" si="11"/>
        <v>0</v>
      </c>
      <c r="O143" s="24">
        <f t="shared" si="12"/>
        <v>9</v>
      </c>
      <c r="P143" s="24">
        <f t="shared" si="13"/>
        <v>0</v>
      </c>
      <c r="Q143" s="25">
        <f t="shared" si="14"/>
        <v>0</v>
      </c>
      <c r="R143" s="26" t="s">
        <v>650</v>
      </c>
    </row>
    <row r="144" spans="1:18" ht="25.5" customHeight="1" x14ac:dyDescent="0.35">
      <c r="A144" s="21">
        <v>140</v>
      </c>
      <c r="B144" s="22" t="s">
        <v>801</v>
      </c>
      <c r="C144" s="14" t="s">
        <v>820</v>
      </c>
      <c r="D144" s="23" t="s">
        <v>35</v>
      </c>
      <c r="E144" s="23" t="s">
        <v>33</v>
      </c>
      <c r="F144" s="23" t="s">
        <v>35</v>
      </c>
      <c r="G144" s="23" t="s">
        <v>33</v>
      </c>
      <c r="H144" s="23" t="s">
        <v>35</v>
      </c>
      <c r="I144" s="23" t="s">
        <v>33</v>
      </c>
      <c r="J144" s="23" t="s">
        <v>33</v>
      </c>
      <c r="K144" s="23" t="s">
        <v>35</v>
      </c>
      <c r="L144" s="23" t="s">
        <v>33</v>
      </c>
      <c r="M144" s="24">
        <f t="shared" si="10"/>
        <v>0</v>
      </c>
      <c r="N144" s="24">
        <f t="shared" si="11"/>
        <v>5</v>
      </c>
      <c r="O144" s="24">
        <f t="shared" si="12"/>
        <v>4</v>
      </c>
      <c r="P144" s="24">
        <f t="shared" si="13"/>
        <v>0</v>
      </c>
      <c r="Q144" s="25">
        <f t="shared" si="14"/>
        <v>0.27777777777777779</v>
      </c>
      <c r="R144" s="26" t="s">
        <v>821</v>
      </c>
    </row>
    <row r="145" spans="1:18" ht="25.5" customHeight="1" x14ac:dyDescent="0.35">
      <c r="A145" s="21">
        <v>141</v>
      </c>
      <c r="B145" s="22" t="s">
        <v>822</v>
      </c>
      <c r="C145" s="14" t="s">
        <v>823</v>
      </c>
      <c r="D145" s="23" t="s">
        <v>31</v>
      </c>
      <c r="E145" s="23" t="s">
        <v>613</v>
      </c>
      <c r="F145" s="23" t="s">
        <v>35</v>
      </c>
      <c r="G145" s="23" t="s">
        <v>31</v>
      </c>
      <c r="H145" s="23" t="s">
        <v>35</v>
      </c>
      <c r="I145" s="23" t="s">
        <v>613</v>
      </c>
      <c r="J145" s="23" t="s">
        <v>613</v>
      </c>
      <c r="K145" s="23" t="s">
        <v>613</v>
      </c>
      <c r="L145" s="23" t="s">
        <v>613</v>
      </c>
      <c r="M145" s="24">
        <f t="shared" si="10"/>
        <v>7</v>
      </c>
      <c r="N145" s="24">
        <f t="shared" si="11"/>
        <v>0</v>
      </c>
      <c r="O145" s="24">
        <f t="shared" si="12"/>
        <v>2</v>
      </c>
      <c r="P145" s="24">
        <f t="shared" si="13"/>
        <v>0</v>
      </c>
      <c r="Q145" s="25">
        <f t="shared" si="14"/>
        <v>0.77777777777777779</v>
      </c>
      <c r="R145" s="26" t="s">
        <v>824</v>
      </c>
    </row>
    <row r="146" spans="1:18" ht="25.5" customHeight="1" x14ac:dyDescent="0.35">
      <c r="A146" s="21">
        <v>142</v>
      </c>
      <c r="B146" s="22" t="s">
        <v>822</v>
      </c>
      <c r="C146" s="14" t="s">
        <v>825</v>
      </c>
      <c r="D146" s="23" t="s">
        <v>31</v>
      </c>
      <c r="E146" s="23" t="s">
        <v>31</v>
      </c>
      <c r="F146" s="23" t="s">
        <v>35</v>
      </c>
      <c r="G146" s="23" t="s">
        <v>33</v>
      </c>
      <c r="H146" s="23" t="s">
        <v>35</v>
      </c>
      <c r="I146" s="23" t="s">
        <v>31</v>
      </c>
      <c r="J146" s="23" t="s">
        <v>31</v>
      </c>
      <c r="K146" s="23" t="s">
        <v>31</v>
      </c>
      <c r="L146" s="23" t="s">
        <v>33</v>
      </c>
      <c r="M146" s="24">
        <f t="shared" si="10"/>
        <v>5</v>
      </c>
      <c r="N146" s="24">
        <f t="shared" si="11"/>
        <v>2</v>
      </c>
      <c r="O146" s="24">
        <f t="shared" si="12"/>
        <v>2</v>
      </c>
      <c r="P146" s="24">
        <f t="shared" si="13"/>
        <v>0</v>
      </c>
      <c r="Q146" s="25">
        <f t="shared" si="14"/>
        <v>0.66666666666666663</v>
      </c>
      <c r="R146" s="26" t="s">
        <v>826</v>
      </c>
    </row>
    <row r="147" spans="1:18" ht="25.5" customHeight="1" x14ac:dyDescent="0.35">
      <c r="A147" s="21">
        <v>143</v>
      </c>
      <c r="B147" s="22" t="s">
        <v>822</v>
      </c>
      <c r="C147" s="14" t="s">
        <v>827</v>
      </c>
      <c r="D147" s="23" t="s">
        <v>31</v>
      </c>
      <c r="E147" s="23" t="s">
        <v>31</v>
      </c>
      <c r="F147" s="23" t="s">
        <v>35</v>
      </c>
      <c r="G147" s="23" t="s">
        <v>31</v>
      </c>
      <c r="H147" s="23" t="s">
        <v>35</v>
      </c>
      <c r="I147" s="23" t="s">
        <v>31</v>
      </c>
      <c r="J147" s="23" t="s">
        <v>31</v>
      </c>
      <c r="K147" s="23" t="s">
        <v>31</v>
      </c>
      <c r="L147" s="23" t="s">
        <v>31</v>
      </c>
      <c r="M147" s="24">
        <f t="shared" si="10"/>
        <v>7</v>
      </c>
      <c r="N147" s="24">
        <f t="shared" si="11"/>
        <v>0</v>
      </c>
      <c r="O147" s="24">
        <f t="shared" si="12"/>
        <v>2</v>
      </c>
      <c r="P147" s="24">
        <f t="shared" si="13"/>
        <v>0</v>
      </c>
      <c r="Q147" s="25">
        <f t="shared" si="14"/>
        <v>0.77777777777777779</v>
      </c>
      <c r="R147" s="26" t="s">
        <v>828</v>
      </c>
    </row>
    <row r="148" spans="1:18" ht="25.5" customHeight="1" x14ac:dyDescent="0.35">
      <c r="A148" s="21">
        <v>144</v>
      </c>
      <c r="B148" s="22" t="s">
        <v>822</v>
      </c>
      <c r="C148" s="14" t="s">
        <v>829</v>
      </c>
      <c r="D148" s="23" t="s">
        <v>33</v>
      </c>
      <c r="E148" s="23" t="s">
        <v>31</v>
      </c>
      <c r="F148" s="23" t="s">
        <v>35</v>
      </c>
      <c r="G148" s="23" t="s">
        <v>31</v>
      </c>
      <c r="H148" s="23" t="s">
        <v>35</v>
      </c>
      <c r="I148" s="23" t="s">
        <v>31</v>
      </c>
      <c r="J148" s="23" t="s">
        <v>31</v>
      </c>
      <c r="K148" s="23" t="s">
        <v>33</v>
      </c>
      <c r="L148" s="23" t="s">
        <v>31</v>
      </c>
      <c r="M148" s="24">
        <f t="shared" si="10"/>
        <v>5</v>
      </c>
      <c r="N148" s="24">
        <f t="shared" si="11"/>
        <v>2</v>
      </c>
      <c r="O148" s="24">
        <f t="shared" si="12"/>
        <v>2</v>
      </c>
      <c r="P148" s="24">
        <f t="shared" si="13"/>
        <v>0</v>
      </c>
      <c r="Q148" s="25">
        <f t="shared" si="14"/>
        <v>0.66666666666666663</v>
      </c>
      <c r="R148" s="26" t="s">
        <v>830</v>
      </c>
    </row>
    <row r="149" spans="1:18" ht="25.5" customHeight="1" x14ac:dyDescent="0.35">
      <c r="A149" s="21">
        <v>145</v>
      </c>
      <c r="B149" s="22" t="s">
        <v>822</v>
      </c>
      <c r="C149" s="14" t="s">
        <v>831</v>
      </c>
      <c r="D149" s="23" t="s">
        <v>31</v>
      </c>
      <c r="E149" s="23" t="s">
        <v>31</v>
      </c>
      <c r="F149" s="23" t="s">
        <v>33</v>
      </c>
      <c r="G149" s="23" t="s">
        <v>31</v>
      </c>
      <c r="H149" s="23" t="s">
        <v>33</v>
      </c>
      <c r="I149" s="23" t="s">
        <v>31</v>
      </c>
      <c r="J149" s="23" t="s">
        <v>31</v>
      </c>
      <c r="K149" s="23" t="s">
        <v>832</v>
      </c>
      <c r="L149" s="23" t="s">
        <v>31</v>
      </c>
      <c r="M149" s="24">
        <f t="shared" si="10"/>
        <v>7</v>
      </c>
      <c r="N149" s="24">
        <f t="shared" si="11"/>
        <v>2</v>
      </c>
      <c r="O149" s="24">
        <f t="shared" si="12"/>
        <v>0</v>
      </c>
      <c r="P149" s="24">
        <f t="shared" si="13"/>
        <v>0</v>
      </c>
      <c r="Q149" s="25">
        <f t="shared" si="14"/>
        <v>0.88888888888888884</v>
      </c>
      <c r="R149" s="26" t="s">
        <v>833</v>
      </c>
    </row>
    <row r="150" spans="1:18" ht="25.5" customHeight="1" x14ac:dyDescent="0.35">
      <c r="A150" s="21">
        <v>146</v>
      </c>
      <c r="B150" s="22" t="s">
        <v>822</v>
      </c>
      <c r="C150" s="14" t="s">
        <v>834</v>
      </c>
      <c r="D150" s="23" t="s">
        <v>33</v>
      </c>
      <c r="E150" s="23" t="s">
        <v>33</v>
      </c>
      <c r="F150" s="23" t="s">
        <v>35</v>
      </c>
      <c r="G150" s="23" t="s">
        <v>33</v>
      </c>
      <c r="H150" s="23" t="s">
        <v>35</v>
      </c>
      <c r="I150" s="23" t="s">
        <v>31</v>
      </c>
      <c r="J150" s="23" t="s">
        <v>33</v>
      </c>
      <c r="K150" s="23" t="s">
        <v>33</v>
      </c>
      <c r="L150" s="23" t="s">
        <v>33</v>
      </c>
      <c r="M150" s="24">
        <f t="shared" si="10"/>
        <v>1</v>
      </c>
      <c r="N150" s="24">
        <f t="shared" si="11"/>
        <v>6</v>
      </c>
      <c r="O150" s="24">
        <f t="shared" si="12"/>
        <v>2</v>
      </c>
      <c r="P150" s="24">
        <f t="shared" si="13"/>
        <v>0</v>
      </c>
      <c r="Q150" s="25">
        <f t="shared" si="14"/>
        <v>0.44444444444444442</v>
      </c>
      <c r="R150" s="26" t="s">
        <v>835</v>
      </c>
    </row>
    <row r="151" spans="1:18" ht="25.5" customHeight="1" x14ac:dyDescent="0.35">
      <c r="A151" s="21">
        <v>147</v>
      </c>
      <c r="B151" s="22" t="s">
        <v>822</v>
      </c>
      <c r="C151" s="14" t="s">
        <v>836</v>
      </c>
      <c r="D151" s="23" t="s">
        <v>33</v>
      </c>
      <c r="E151" s="23" t="s">
        <v>31</v>
      </c>
      <c r="F151" s="23" t="s">
        <v>35</v>
      </c>
      <c r="G151" s="23" t="s">
        <v>31</v>
      </c>
      <c r="H151" s="23" t="s">
        <v>35</v>
      </c>
      <c r="I151" s="23" t="s">
        <v>31</v>
      </c>
      <c r="J151" s="23" t="s">
        <v>31</v>
      </c>
      <c r="K151" s="23" t="s">
        <v>31</v>
      </c>
      <c r="L151" s="23" t="s">
        <v>31</v>
      </c>
      <c r="M151" s="24">
        <f t="shared" si="10"/>
        <v>6</v>
      </c>
      <c r="N151" s="24">
        <f t="shared" si="11"/>
        <v>1</v>
      </c>
      <c r="O151" s="24">
        <f t="shared" si="12"/>
        <v>2</v>
      </c>
      <c r="P151" s="24">
        <f t="shared" si="13"/>
        <v>0</v>
      </c>
      <c r="Q151" s="25">
        <f t="shared" si="14"/>
        <v>0.72222222222222221</v>
      </c>
      <c r="R151" s="26"/>
    </row>
    <row r="152" spans="1:18" ht="25.5" customHeight="1" x14ac:dyDescent="0.35">
      <c r="A152" s="21">
        <v>148</v>
      </c>
      <c r="B152" s="22" t="s">
        <v>822</v>
      </c>
      <c r="C152" s="14" t="s">
        <v>837</v>
      </c>
      <c r="D152" s="23" t="s">
        <v>33</v>
      </c>
      <c r="E152" s="23" t="s">
        <v>31</v>
      </c>
      <c r="F152" s="23" t="s">
        <v>579</v>
      </c>
      <c r="G152" s="23" t="s">
        <v>31</v>
      </c>
      <c r="H152" s="23" t="s">
        <v>35</v>
      </c>
      <c r="I152" s="23" t="s">
        <v>31</v>
      </c>
      <c r="J152" s="23" t="s">
        <v>31</v>
      </c>
      <c r="K152" s="23" t="s">
        <v>33</v>
      </c>
      <c r="L152" s="23" t="s">
        <v>33</v>
      </c>
      <c r="M152" s="24">
        <f t="shared" si="10"/>
        <v>4</v>
      </c>
      <c r="N152" s="24">
        <f t="shared" si="11"/>
        <v>4</v>
      </c>
      <c r="O152" s="24">
        <f t="shared" si="12"/>
        <v>1</v>
      </c>
      <c r="P152" s="24">
        <f t="shared" si="13"/>
        <v>0</v>
      </c>
      <c r="Q152" s="25">
        <f t="shared" si="14"/>
        <v>0.66666666666666663</v>
      </c>
      <c r="R152" s="26"/>
    </row>
    <row r="153" spans="1:18" ht="25.5" customHeight="1" x14ac:dyDescent="0.35">
      <c r="A153" s="21">
        <v>149</v>
      </c>
      <c r="B153" s="22" t="s">
        <v>822</v>
      </c>
      <c r="C153" s="14" t="s">
        <v>838</v>
      </c>
      <c r="D153" s="23" t="s">
        <v>35</v>
      </c>
      <c r="E153" s="23" t="s">
        <v>33</v>
      </c>
      <c r="F153" s="23" t="s">
        <v>35</v>
      </c>
      <c r="G153" s="23" t="s">
        <v>33</v>
      </c>
      <c r="H153" s="23" t="s">
        <v>35</v>
      </c>
      <c r="I153" s="23" t="s">
        <v>31</v>
      </c>
      <c r="J153" s="23" t="s">
        <v>31</v>
      </c>
      <c r="K153" s="23" t="s">
        <v>33</v>
      </c>
      <c r="L153" s="23" t="s">
        <v>35</v>
      </c>
      <c r="M153" s="24">
        <f t="shared" si="10"/>
        <v>2</v>
      </c>
      <c r="N153" s="24">
        <f t="shared" si="11"/>
        <v>3</v>
      </c>
      <c r="O153" s="24">
        <f t="shared" si="12"/>
        <v>4</v>
      </c>
      <c r="P153" s="24">
        <f t="shared" si="13"/>
        <v>0</v>
      </c>
      <c r="Q153" s="25">
        <f t="shared" si="14"/>
        <v>0.3888888888888889</v>
      </c>
      <c r="R153" s="26" t="s">
        <v>839</v>
      </c>
    </row>
    <row r="154" spans="1:18" ht="25.5" customHeight="1" x14ac:dyDescent="0.35">
      <c r="A154" s="21">
        <v>150</v>
      </c>
      <c r="B154" s="22" t="s">
        <v>822</v>
      </c>
      <c r="C154" s="14" t="s">
        <v>840</v>
      </c>
      <c r="D154" s="23" t="s">
        <v>33</v>
      </c>
      <c r="E154" s="23" t="s">
        <v>31</v>
      </c>
      <c r="F154" s="23" t="s">
        <v>35</v>
      </c>
      <c r="G154" s="23" t="s">
        <v>33</v>
      </c>
      <c r="H154" s="23" t="s">
        <v>35</v>
      </c>
      <c r="I154" s="23" t="s">
        <v>31</v>
      </c>
      <c r="J154" s="23" t="s">
        <v>31</v>
      </c>
      <c r="K154" s="23" t="s">
        <v>33</v>
      </c>
      <c r="L154" s="23" t="s">
        <v>33</v>
      </c>
      <c r="M154" s="24">
        <f t="shared" si="10"/>
        <v>3</v>
      </c>
      <c r="N154" s="24">
        <f t="shared" si="11"/>
        <v>4</v>
      </c>
      <c r="O154" s="24">
        <f t="shared" si="12"/>
        <v>2</v>
      </c>
      <c r="P154" s="24">
        <f t="shared" si="13"/>
        <v>0</v>
      </c>
      <c r="Q154" s="25">
        <f t="shared" si="14"/>
        <v>0.55555555555555558</v>
      </c>
      <c r="R154" s="26" t="s">
        <v>841</v>
      </c>
    </row>
    <row r="155" spans="1:18" ht="25.5" customHeight="1" x14ac:dyDescent="0.35">
      <c r="A155" s="21">
        <v>151</v>
      </c>
      <c r="B155" s="22" t="s">
        <v>822</v>
      </c>
      <c r="C155" s="14" t="s">
        <v>842</v>
      </c>
      <c r="D155" s="23" t="s">
        <v>31</v>
      </c>
      <c r="E155" s="23" t="s">
        <v>31</v>
      </c>
      <c r="F155" s="23" t="s">
        <v>31</v>
      </c>
      <c r="G155" s="23" t="s">
        <v>31</v>
      </c>
      <c r="H155" s="23" t="s">
        <v>31</v>
      </c>
      <c r="I155" s="23" t="s">
        <v>31</v>
      </c>
      <c r="J155" s="23" t="s">
        <v>31</v>
      </c>
      <c r="K155" s="23" t="s">
        <v>31</v>
      </c>
      <c r="L155" s="23" t="s">
        <v>33</v>
      </c>
      <c r="M155" s="24">
        <f t="shared" si="10"/>
        <v>8</v>
      </c>
      <c r="N155" s="24">
        <f t="shared" si="11"/>
        <v>1</v>
      </c>
      <c r="O155" s="24">
        <f t="shared" si="12"/>
        <v>0</v>
      </c>
      <c r="P155" s="24">
        <f t="shared" si="13"/>
        <v>0</v>
      </c>
      <c r="Q155" s="25">
        <f t="shared" si="14"/>
        <v>0.94444444444444442</v>
      </c>
      <c r="R155" s="26" t="s">
        <v>843</v>
      </c>
    </row>
    <row r="156" spans="1:18" ht="25.5" customHeight="1" x14ac:dyDescent="0.35">
      <c r="A156" s="21">
        <v>152</v>
      </c>
      <c r="B156" s="22" t="s">
        <v>822</v>
      </c>
      <c r="C156" s="14" t="s">
        <v>844</v>
      </c>
      <c r="D156" s="23" t="s">
        <v>33</v>
      </c>
      <c r="E156" s="23" t="s">
        <v>31</v>
      </c>
      <c r="F156" s="23" t="s">
        <v>579</v>
      </c>
      <c r="G156" s="23" t="s">
        <v>31</v>
      </c>
      <c r="H156" s="23" t="s">
        <v>35</v>
      </c>
      <c r="I156" s="23" t="s">
        <v>31</v>
      </c>
      <c r="J156" s="23" t="s">
        <v>31</v>
      </c>
      <c r="K156" s="23" t="s">
        <v>33</v>
      </c>
      <c r="L156" s="23" t="s">
        <v>31</v>
      </c>
      <c r="M156" s="24">
        <f t="shared" si="10"/>
        <v>5</v>
      </c>
      <c r="N156" s="24">
        <f t="shared" si="11"/>
        <v>3</v>
      </c>
      <c r="O156" s="24">
        <f t="shared" si="12"/>
        <v>1</v>
      </c>
      <c r="P156" s="24">
        <f t="shared" si="13"/>
        <v>0</v>
      </c>
      <c r="Q156" s="25">
        <f t="shared" si="14"/>
        <v>0.72222222222222221</v>
      </c>
      <c r="R156" s="26"/>
    </row>
    <row r="157" spans="1:18" ht="25.5" customHeight="1" x14ac:dyDescent="0.35">
      <c r="A157" s="21">
        <v>153</v>
      </c>
      <c r="B157" s="22" t="s">
        <v>822</v>
      </c>
      <c r="C157" s="14" t="s">
        <v>845</v>
      </c>
      <c r="D157" s="23" t="s">
        <v>33</v>
      </c>
      <c r="E157" s="23" t="s">
        <v>31</v>
      </c>
      <c r="F157" s="23" t="s">
        <v>579</v>
      </c>
      <c r="G157" s="23" t="s">
        <v>33</v>
      </c>
      <c r="H157" s="23" t="s">
        <v>35</v>
      </c>
      <c r="I157" s="23" t="s">
        <v>31</v>
      </c>
      <c r="J157" s="23" t="s">
        <v>31</v>
      </c>
      <c r="K157" s="23" t="s">
        <v>33</v>
      </c>
      <c r="L157" s="23" t="s">
        <v>31</v>
      </c>
      <c r="M157" s="24">
        <f t="shared" si="10"/>
        <v>4</v>
      </c>
      <c r="N157" s="24">
        <f t="shared" si="11"/>
        <v>4</v>
      </c>
      <c r="O157" s="24">
        <f t="shared" si="12"/>
        <v>1</v>
      </c>
      <c r="P157" s="24">
        <f t="shared" si="13"/>
        <v>0</v>
      </c>
      <c r="Q157" s="25">
        <f t="shared" si="14"/>
        <v>0.66666666666666663</v>
      </c>
      <c r="R157" s="26"/>
    </row>
    <row r="158" spans="1:18" ht="25.5" customHeight="1" x14ac:dyDescent="0.35">
      <c r="A158" s="21">
        <v>154</v>
      </c>
      <c r="B158" s="22" t="s">
        <v>822</v>
      </c>
      <c r="C158" s="14" t="s">
        <v>846</v>
      </c>
      <c r="D158" s="23" t="s">
        <v>33</v>
      </c>
      <c r="E158" s="23" t="s">
        <v>31</v>
      </c>
      <c r="F158" s="23" t="s">
        <v>579</v>
      </c>
      <c r="G158" s="23" t="s">
        <v>33</v>
      </c>
      <c r="H158" s="23" t="s">
        <v>35</v>
      </c>
      <c r="I158" s="23" t="s">
        <v>31</v>
      </c>
      <c r="J158" s="23" t="s">
        <v>31</v>
      </c>
      <c r="K158" s="23" t="s">
        <v>33</v>
      </c>
      <c r="L158" s="23" t="s">
        <v>33</v>
      </c>
      <c r="M158" s="24">
        <f t="shared" si="10"/>
        <v>3</v>
      </c>
      <c r="N158" s="24">
        <f t="shared" si="11"/>
        <v>5</v>
      </c>
      <c r="O158" s="24">
        <f t="shared" si="12"/>
        <v>1</v>
      </c>
      <c r="P158" s="24">
        <f t="shared" si="13"/>
        <v>0</v>
      </c>
      <c r="Q158" s="25">
        <f t="shared" si="14"/>
        <v>0.61111111111111116</v>
      </c>
      <c r="R158" s="26"/>
    </row>
    <row r="159" spans="1:18" ht="25.5" customHeight="1" x14ac:dyDescent="0.35">
      <c r="A159" s="21">
        <v>155</v>
      </c>
      <c r="B159" s="22" t="s">
        <v>822</v>
      </c>
      <c r="C159" s="14" t="s">
        <v>847</v>
      </c>
      <c r="D159" s="23" t="s">
        <v>33</v>
      </c>
      <c r="E159" s="23" t="s">
        <v>33</v>
      </c>
      <c r="F159" s="23" t="s">
        <v>579</v>
      </c>
      <c r="G159" s="23" t="s">
        <v>33</v>
      </c>
      <c r="H159" s="23" t="s">
        <v>35</v>
      </c>
      <c r="I159" s="23" t="s">
        <v>31</v>
      </c>
      <c r="J159" s="23" t="s">
        <v>33</v>
      </c>
      <c r="K159" s="23" t="s">
        <v>33</v>
      </c>
      <c r="L159" s="23" t="s">
        <v>33</v>
      </c>
      <c r="M159" s="24">
        <f t="shared" si="10"/>
        <v>1</v>
      </c>
      <c r="N159" s="24">
        <f t="shared" si="11"/>
        <v>7</v>
      </c>
      <c r="O159" s="24">
        <f t="shared" si="12"/>
        <v>1</v>
      </c>
      <c r="P159" s="24">
        <f t="shared" si="13"/>
        <v>0</v>
      </c>
      <c r="Q159" s="25">
        <f t="shared" si="14"/>
        <v>0.5</v>
      </c>
      <c r="R159" s="26" t="s">
        <v>848</v>
      </c>
    </row>
    <row r="160" spans="1:18" ht="25.5" customHeight="1" x14ac:dyDescent="0.35">
      <c r="A160" s="21">
        <v>156</v>
      </c>
      <c r="B160" s="22" t="s">
        <v>822</v>
      </c>
      <c r="C160" s="14" t="s">
        <v>849</v>
      </c>
      <c r="D160" s="23" t="s">
        <v>35</v>
      </c>
      <c r="E160" s="23" t="s">
        <v>35</v>
      </c>
      <c r="F160" s="23" t="s">
        <v>35</v>
      </c>
      <c r="G160" s="23" t="s">
        <v>35</v>
      </c>
      <c r="H160" s="23" t="s">
        <v>35</v>
      </c>
      <c r="I160" s="23" t="s">
        <v>35</v>
      </c>
      <c r="J160" s="23" t="s">
        <v>35</v>
      </c>
      <c r="K160" s="23" t="s">
        <v>35</v>
      </c>
      <c r="L160" s="23" t="s">
        <v>35</v>
      </c>
      <c r="M160" s="24">
        <f t="shared" si="10"/>
        <v>0</v>
      </c>
      <c r="N160" s="24">
        <f t="shared" si="11"/>
        <v>0</v>
      </c>
      <c r="O160" s="24">
        <f t="shared" si="12"/>
        <v>9</v>
      </c>
      <c r="P160" s="24">
        <f t="shared" si="13"/>
        <v>0</v>
      </c>
      <c r="Q160" s="25">
        <f t="shared" si="14"/>
        <v>0</v>
      </c>
      <c r="R160" s="26" t="s">
        <v>850</v>
      </c>
    </row>
    <row r="161" spans="1:18" ht="25.5" customHeight="1" x14ac:dyDescent="0.35">
      <c r="A161" s="21">
        <v>157</v>
      </c>
      <c r="B161" s="22" t="s">
        <v>822</v>
      </c>
      <c r="C161" s="14" t="s">
        <v>851</v>
      </c>
      <c r="D161" s="23" t="s">
        <v>35</v>
      </c>
      <c r="E161" s="23" t="s">
        <v>35</v>
      </c>
      <c r="F161" s="23" t="s">
        <v>35</v>
      </c>
      <c r="G161" s="23" t="s">
        <v>35</v>
      </c>
      <c r="H161" s="23" t="s">
        <v>35</v>
      </c>
      <c r="I161" s="23" t="s">
        <v>35</v>
      </c>
      <c r="J161" s="23" t="s">
        <v>35</v>
      </c>
      <c r="K161" s="23" t="s">
        <v>35</v>
      </c>
      <c r="L161" s="23" t="s">
        <v>35</v>
      </c>
      <c r="M161" s="24">
        <f t="shared" si="10"/>
        <v>0</v>
      </c>
      <c r="N161" s="24">
        <f t="shared" si="11"/>
        <v>0</v>
      </c>
      <c r="O161" s="24">
        <f t="shared" si="12"/>
        <v>9</v>
      </c>
      <c r="P161" s="24">
        <f t="shared" si="13"/>
        <v>0</v>
      </c>
      <c r="Q161" s="25">
        <f t="shared" si="14"/>
        <v>0</v>
      </c>
      <c r="R161" s="26" t="s">
        <v>852</v>
      </c>
    </row>
    <row r="162" spans="1:18" ht="25.5" customHeight="1" x14ac:dyDescent="0.35">
      <c r="A162" s="21">
        <v>158</v>
      </c>
      <c r="B162" s="22" t="s">
        <v>822</v>
      </c>
      <c r="C162" s="14" t="s">
        <v>853</v>
      </c>
      <c r="D162" s="23" t="s">
        <v>35</v>
      </c>
      <c r="E162" s="23" t="s">
        <v>33</v>
      </c>
      <c r="F162" s="23" t="s">
        <v>579</v>
      </c>
      <c r="G162" s="23" t="s">
        <v>33</v>
      </c>
      <c r="H162" s="23" t="s">
        <v>35</v>
      </c>
      <c r="I162" s="23" t="s">
        <v>33</v>
      </c>
      <c r="J162" s="23" t="s">
        <v>33</v>
      </c>
      <c r="K162" s="23" t="s">
        <v>35</v>
      </c>
      <c r="L162" s="23" t="s">
        <v>35</v>
      </c>
      <c r="M162" s="24">
        <f t="shared" si="10"/>
        <v>0</v>
      </c>
      <c r="N162" s="24">
        <f t="shared" si="11"/>
        <v>5</v>
      </c>
      <c r="O162" s="24">
        <f t="shared" si="12"/>
        <v>4</v>
      </c>
      <c r="P162" s="24">
        <f t="shared" si="13"/>
        <v>0</v>
      </c>
      <c r="Q162" s="25">
        <f t="shared" si="14"/>
        <v>0.27777777777777779</v>
      </c>
      <c r="R162" s="26" t="s">
        <v>854</v>
      </c>
    </row>
    <row r="163" spans="1:18" ht="25.5" customHeight="1" x14ac:dyDescent="0.35">
      <c r="A163" s="21">
        <v>159</v>
      </c>
      <c r="B163" s="22" t="s">
        <v>822</v>
      </c>
      <c r="C163" s="14" t="s">
        <v>855</v>
      </c>
      <c r="D163" s="23" t="s">
        <v>33</v>
      </c>
      <c r="E163" s="23" t="s">
        <v>31</v>
      </c>
      <c r="F163" s="23" t="s">
        <v>33</v>
      </c>
      <c r="G163" s="23" t="s">
        <v>31</v>
      </c>
      <c r="H163" s="23" t="s">
        <v>33</v>
      </c>
      <c r="I163" s="23" t="s">
        <v>31</v>
      </c>
      <c r="J163" s="23" t="s">
        <v>31</v>
      </c>
      <c r="K163" s="23" t="s">
        <v>33</v>
      </c>
      <c r="L163" s="23" t="s">
        <v>31</v>
      </c>
      <c r="M163" s="24">
        <f t="shared" si="10"/>
        <v>5</v>
      </c>
      <c r="N163" s="24">
        <f t="shared" si="11"/>
        <v>4</v>
      </c>
      <c r="O163" s="24">
        <f t="shared" si="12"/>
        <v>0</v>
      </c>
      <c r="P163" s="24">
        <f t="shared" si="13"/>
        <v>0</v>
      </c>
      <c r="Q163" s="25">
        <f t="shared" si="14"/>
        <v>0.77777777777777779</v>
      </c>
      <c r="R163" s="26"/>
    </row>
    <row r="164" spans="1:18" ht="25.5" customHeight="1" x14ac:dyDescent="0.35">
      <c r="A164" s="21">
        <v>160</v>
      </c>
      <c r="B164" s="22" t="s">
        <v>822</v>
      </c>
      <c r="C164" s="14" t="s">
        <v>856</v>
      </c>
      <c r="D164" s="23" t="s">
        <v>33</v>
      </c>
      <c r="E164" s="23" t="s">
        <v>31</v>
      </c>
      <c r="F164" s="23" t="s">
        <v>33</v>
      </c>
      <c r="G164" s="23" t="s">
        <v>31</v>
      </c>
      <c r="H164" s="23" t="s">
        <v>33</v>
      </c>
      <c r="I164" s="23" t="s">
        <v>31</v>
      </c>
      <c r="J164" s="23" t="s">
        <v>31</v>
      </c>
      <c r="K164" s="23" t="s">
        <v>33</v>
      </c>
      <c r="L164" s="23" t="s">
        <v>33</v>
      </c>
      <c r="M164" s="24">
        <f t="shared" si="10"/>
        <v>4</v>
      </c>
      <c r="N164" s="24">
        <f t="shared" si="11"/>
        <v>5</v>
      </c>
      <c r="O164" s="24">
        <f t="shared" si="12"/>
        <v>0</v>
      </c>
      <c r="P164" s="24">
        <f t="shared" si="13"/>
        <v>0</v>
      </c>
      <c r="Q164" s="25">
        <f t="shared" si="14"/>
        <v>0.72222222222222221</v>
      </c>
      <c r="R164" s="26" t="s">
        <v>857</v>
      </c>
    </row>
    <row r="165" spans="1:18" ht="25.5" customHeight="1" x14ac:dyDescent="0.35">
      <c r="A165" s="21">
        <v>161</v>
      </c>
      <c r="B165" s="22" t="s">
        <v>822</v>
      </c>
      <c r="C165" s="14" t="s">
        <v>858</v>
      </c>
      <c r="D165" s="23" t="s">
        <v>31</v>
      </c>
      <c r="E165" s="23" t="s">
        <v>31</v>
      </c>
      <c r="F165" s="23" t="s">
        <v>31</v>
      </c>
      <c r="G165" s="23" t="s">
        <v>31</v>
      </c>
      <c r="H165" s="23" t="s">
        <v>31</v>
      </c>
      <c r="I165" s="23" t="s">
        <v>31</v>
      </c>
      <c r="J165" s="23" t="s">
        <v>31</v>
      </c>
      <c r="K165" s="23" t="s">
        <v>31</v>
      </c>
      <c r="L165" s="23" t="s">
        <v>31</v>
      </c>
      <c r="M165" s="24">
        <f t="shared" si="10"/>
        <v>9</v>
      </c>
      <c r="N165" s="24">
        <f t="shared" si="11"/>
        <v>0</v>
      </c>
      <c r="O165" s="24">
        <f t="shared" si="12"/>
        <v>0</v>
      </c>
      <c r="P165" s="24">
        <f t="shared" si="13"/>
        <v>0</v>
      </c>
      <c r="Q165" s="25">
        <f t="shared" si="14"/>
        <v>1</v>
      </c>
      <c r="R165" s="26" t="s">
        <v>859</v>
      </c>
    </row>
    <row r="166" spans="1:18" ht="25.5" customHeight="1" x14ac:dyDescent="0.35">
      <c r="A166" s="21">
        <v>162</v>
      </c>
      <c r="B166" s="22" t="s">
        <v>822</v>
      </c>
      <c r="C166" s="14" t="s">
        <v>860</v>
      </c>
      <c r="D166" s="23" t="s">
        <v>35</v>
      </c>
      <c r="E166" s="23" t="s">
        <v>35</v>
      </c>
      <c r="F166" s="23" t="s">
        <v>35</v>
      </c>
      <c r="G166" s="23" t="s">
        <v>35</v>
      </c>
      <c r="H166" s="23" t="s">
        <v>35</v>
      </c>
      <c r="I166" s="23" t="s">
        <v>35</v>
      </c>
      <c r="J166" s="23" t="s">
        <v>35</v>
      </c>
      <c r="K166" s="23" t="s">
        <v>35</v>
      </c>
      <c r="L166" s="23" t="s">
        <v>35</v>
      </c>
      <c r="M166" s="24">
        <f t="shared" si="10"/>
        <v>0</v>
      </c>
      <c r="N166" s="24">
        <f t="shared" si="11"/>
        <v>0</v>
      </c>
      <c r="O166" s="24">
        <f t="shared" si="12"/>
        <v>9</v>
      </c>
      <c r="P166" s="24">
        <f t="shared" si="13"/>
        <v>0</v>
      </c>
      <c r="Q166" s="25">
        <f t="shared" si="14"/>
        <v>0</v>
      </c>
      <c r="R166" s="26" t="s">
        <v>861</v>
      </c>
    </row>
    <row r="167" spans="1:18" ht="25.5" customHeight="1" x14ac:dyDescent="0.35">
      <c r="A167" s="21">
        <v>163</v>
      </c>
      <c r="B167" s="22" t="s">
        <v>822</v>
      </c>
      <c r="C167" s="14" t="s">
        <v>862</v>
      </c>
      <c r="D167" s="23" t="s">
        <v>33</v>
      </c>
      <c r="E167" s="23" t="s">
        <v>31</v>
      </c>
      <c r="F167" s="23" t="s">
        <v>35</v>
      </c>
      <c r="G167" s="23" t="s">
        <v>33</v>
      </c>
      <c r="H167" s="23" t="s">
        <v>35</v>
      </c>
      <c r="I167" s="23" t="s">
        <v>31</v>
      </c>
      <c r="J167" s="23" t="s">
        <v>31</v>
      </c>
      <c r="K167" s="23" t="s">
        <v>33</v>
      </c>
      <c r="L167" s="23" t="s">
        <v>33</v>
      </c>
      <c r="M167" s="24">
        <f t="shared" si="10"/>
        <v>3</v>
      </c>
      <c r="N167" s="24">
        <f t="shared" si="11"/>
        <v>4</v>
      </c>
      <c r="O167" s="24">
        <f t="shared" si="12"/>
        <v>2</v>
      </c>
      <c r="P167" s="24">
        <f t="shared" si="13"/>
        <v>0</v>
      </c>
      <c r="Q167" s="25">
        <f t="shared" si="14"/>
        <v>0.55555555555555558</v>
      </c>
      <c r="R167" s="26" t="s">
        <v>863</v>
      </c>
    </row>
    <row r="168" spans="1:18" ht="25.5" customHeight="1" x14ac:dyDescent="0.35">
      <c r="A168" s="21">
        <v>164</v>
      </c>
      <c r="B168" s="22" t="s">
        <v>822</v>
      </c>
      <c r="C168" s="14" t="s">
        <v>864</v>
      </c>
      <c r="D168" s="23" t="s">
        <v>35</v>
      </c>
      <c r="E168" s="23" t="s">
        <v>31</v>
      </c>
      <c r="F168" s="23" t="s">
        <v>579</v>
      </c>
      <c r="G168" s="23" t="s">
        <v>33</v>
      </c>
      <c r="H168" s="23" t="s">
        <v>35</v>
      </c>
      <c r="I168" s="23" t="s">
        <v>31</v>
      </c>
      <c r="J168" s="23" t="s">
        <v>33</v>
      </c>
      <c r="K168" s="23" t="s">
        <v>35</v>
      </c>
      <c r="L168" s="23" t="s">
        <v>33</v>
      </c>
      <c r="M168" s="24">
        <f t="shared" si="10"/>
        <v>2</v>
      </c>
      <c r="N168" s="24">
        <f t="shared" si="11"/>
        <v>4</v>
      </c>
      <c r="O168" s="24">
        <f t="shared" si="12"/>
        <v>3</v>
      </c>
      <c r="P168" s="24">
        <f t="shared" si="13"/>
        <v>0</v>
      </c>
      <c r="Q168" s="25">
        <f t="shared" si="14"/>
        <v>0.44444444444444442</v>
      </c>
      <c r="R168" s="26" t="s">
        <v>865</v>
      </c>
    </row>
    <row r="169" spans="1:18" ht="25.5" customHeight="1" x14ac:dyDescent="0.35">
      <c r="A169" s="21">
        <v>165</v>
      </c>
      <c r="B169" s="22" t="s">
        <v>822</v>
      </c>
      <c r="C169" s="14" t="s">
        <v>866</v>
      </c>
      <c r="D169" s="23" t="s">
        <v>35</v>
      </c>
      <c r="E169" s="23" t="s">
        <v>31</v>
      </c>
      <c r="F169" s="23" t="s">
        <v>35</v>
      </c>
      <c r="G169" s="23" t="s">
        <v>33</v>
      </c>
      <c r="H169" s="23" t="s">
        <v>35</v>
      </c>
      <c r="I169" s="23" t="s">
        <v>31</v>
      </c>
      <c r="J169" s="23" t="s">
        <v>33</v>
      </c>
      <c r="K169" s="23" t="s">
        <v>35</v>
      </c>
      <c r="L169" s="23" t="s">
        <v>35</v>
      </c>
      <c r="M169" s="24">
        <f t="shared" si="10"/>
        <v>2</v>
      </c>
      <c r="N169" s="24">
        <f t="shared" si="11"/>
        <v>2</v>
      </c>
      <c r="O169" s="24">
        <f t="shared" si="12"/>
        <v>5</v>
      </c>
      <c r="P169" s="24">
        <f t="shared" si="13"/>
        <v>0</v>
      </c>
      <c r="Q169" s="25">
        <f t="shared" si="14"/>
        <v>0.33333333333333331</v>
      </c>
      <c r="R169" s="26" t="s">
        <v>867</v>
      </c>
    </row>
    <row r="170" spans="1:18" ht="25.5" customHeight="1" x14ac:dyDescent="0.35">
      <c r="A170" s="21">
        <v>166</v>
      </c>
      <c r="B170" s="22" t="s">
        <v>822</v>
      </c>
      <c r="C170" s="14" t="s">
        <v>868</v>
      </c>
      <c r="D170" s="23" t="s">
        <v>33</v>
      </c>
      <c r="E170" s="23" t="s">
        <v>31</v>
      </c>
      <c r="F170" s="23" t="s">
        <v>35</v>
      </c>
      <c r="G170" s="23" t="s">
        <v>33</v>
      </c>
      <c r="H170" s="23" t="s">
        <v>35</v>
      </c>
      <c r="I170" s="23" t="s">
        <v>31</v>
      </c>
      <c r="J170" s="23" t="s">
        <v>31</v>
      </c>
      <c r="K170" s="23" t="s">
        <v>33</v>
      </c>
      <c r="L170" s="23" t="s">
        <v>33</v>
      </c>
      <c r="M170" s="24">
        <f t="shared" si="10"/>
        <v>3</v>
      </c>
      <c r="N170" s="24">
        <f t="shared" si="11"/>
        <v>4</v>
      </c>
      <c r="O170" s="24">
        <f t="shared" si="12"/>
        <v>2</v>
      </c>
      <c r="P170" s="24">
        <f t="shared" si="13"/>
        <v>0</v>
      </c>
      <c r="Q170" s="25">
        <f t="shared" si="14"/>
        <v>0.55555555555555558</v>
      </c>
      <c r="R170" s="26" t="s">
        <v>869</v>
      </c>
    </row>
    <row r="171" spans="1:18" ht="25.5" customHeight="1" x14ac:dyDescent="0.35">
      <c r="A171" s="21">
        <v>167</v>
      </c>
      <c r="B171" s="22" t="s">
        <v>822</v>
      </c>
      <c r="C171" s="14" t="s">
        <v>870</v>
      </c>
      <c r="D171" s="23" t="s">
        <v>35</v>
      </c>
      <c r="E171" s="23" t="s">
        <v>33</v>
      </c>
      <c r="F171" s="23" t="s">
        <v>579</v>
      </c>
      <c r="G171" s="23" t="s">
        <v>35</v>
      </c>
      <c r="H171" s="23" t="s">
        <v>35</v>
      </c>
      <c r="I171" s="23" t="s">
        <v>31</v>
      </c>
      <c r="J171" s="23" t="s">
        <v>33</v>
      </c>
      <c r="K171" s="23" t="s">
        <v>35</v>
      </c>
      <c r="L171" s="23" t="s">
        <v>35</v>
      </c>
      <c r="M171" s="24">
        <f t="shared" si="10"/>
        <v>1</v>
      </c>
      <c r="N171" s="24">
        <f t="shared" si="11"/>
        <v>3</v>
      </c>
      <c r="O171" s="24">
        <f t="shared" si="12"/>
        <v>5</v>
      </c>
      <c r="P171" s="24">
        <f t="shared" si="13"/>
        <v>0</v>
      </c>
      <c r="Q171" s="25">
        <f t="shared" si="14"/>
        <v>0.27777777777777779</v>
      </c>
      <c r="R171" s="26" t="s">
        <v>871</v>
      </c>
    </row>
    <row r="172" spans="1:18" ht="25.5" customHeight="1" x14ac:dyDescent="0.35">
      <c r="A172" s="21">
        <v>168</v>
      </c>
      <c r="B172" s="22" t="s">
        <v>822</v>
      </c>
      <c r="C172" s="14" t="s">
        <v>872</v>
      </c>
      <c r="D172" s="23" t="s">
        <v>33</v>
      </c>
      <c r="E172" s="23" t="s">
        <v>31</v>
      </c>
      <c r="F172" s="23" t="s">
        <v>579</v>
      </c>
      <c r="G172" s="23" t="s">
        <v>33</v>
      </c>
      <c r="H172" s="23" t="s">
        <v>35</v>
      </c>
      <c r="I172" s="23" t="s">
        <v>31</v>
      </c>
      <c r="J172" s="23" t="s">
        <v>31</v>
      </c>
      <c r="K172" s="23" t="s">
        <v>33</v>
      </c>
      <c r="L172" s="23" t="s">
        <v>33</v>
      </c>
      <c r="M172" s="24">
        <f t="shared" si="10"/>
        <v>3</v>
      </c>
      <c r="N172" s="24">
        <f t="shared" si="11"/>
        <v>5</v>
      </c>
      <c r="O172" s="24">
        <f t="shared" si="12"/>
        <v>1</v>
      </c>
      <c r="P172" s="24">
        <f t="shared" si="13"/>
        <v>0</v>
      </c>
      <c r="Q172" s="25">
        <f t="shared" si="14"/>
        <v>0.61111111111111116</v>
      </c>
      <c r="R172" s="26"/>
    </row>
    <row r="173" spans="1:18" ht="25.5" customHeight="1" x14ac:dyDescent="0.35">
      <c r="A173" s="21">
        <v>169</v>
      </c>
      <c r="B173" s="22" t="s">
        <v>822</v>
      </c>
      <c r="C173" s="14" t="s">
        <v>873</v>
      </c>
      <c r="D173" s="23" t="s">
        <v>35</v>
      </c>
      <c r="E173" s="23" t="s">
        <v>35</v>
      </c>
      <c r="F173" s="23" t="s">
        <v>35</v>
      </c>
      <c r="G173" s="23" t="s">
        <v>33</v>
      </c>
      <c r="H173" s="23" t="s">
        <v>35</v>
      </c>
      <c r="I173" s="23" t="s">
        <v>35</v>
      </c>
      <c r="J173" s="23" t="s">
        <v>35</v>
      </c>
      <c r="K173" s="23" t="s">
        <v>35</v>
      </c>
      <c r="L173" s="23" t="s">
        <v>35</v>
      </c>
      <c r="M173" s="24">
        <f t="shared" si="10"/>
        <v>0</v>
      </c>
      <c r="N173" s="24">
        <f t="shared" si="11"/>
        <v>1</v>
      </c>
      <c r="O173" s="24">
        <f t="shared" si="12"/>
        <v>8</v>
      </c>
      <c r="P173" s="24">
        <f t="shared" si="13"/>
        <v>0</v>
      </c>
      <c r="Q173" s="25">
        <f t="shared" si="14"/>
        <v>5.5555555555555552E-2</v>
      </c>
      <c r="R173" s="26" t="s">
        <v>874</v>
      </c>
    </row>
    <row r="174" spans="1:18" ht="25.5" customHeight="1" x14ac:dyDescent="0.35">
      <c r="A174" s="21">
        <v>170</v>
      </c>
      <c r="B174" s="22" t="s">
        <v>875</v>
      </c>
      <c r="C174" s="14" t="s">
        <v>876</v>
      </c>
      <c r="D174" s="23" t="s">
        <v>31</v>
      </c>
      <c r="E174" s="23" t="s">
        <v>31</v>
      </c>
      <c r="F174" s="23" t="s">
        <v>35</v>
      </c>
      <c r="G174" s="23" t="s">
        <v>31</v>
      </c>
      <c r="H174" s="23" t="s">
        <v>35</v>
      </c>
      <c r="I174" s="23" t="s">
        <v>31</v>
      </c>
      <c r="J174" s="23" t="s">
        <v>31</v>
      </c>
      <c r="K174" s="23" t="s">
        <v>31</v>
      </c>
      <c r="L174" s="23" t="s">
        <v>31</v>
      </c>
      <c r="M174" s="24">
        <f t="shared" si="10"/>
        <v>7</v>
      </c>
      <c r="N174" s="24">
        <f t="shared" si="11"/>
        <v>0</v>
      </c>
      <c r="O174" s="24">
        <f t="shared" si="12"/>
        <v>2</v>
      </c>
      <c r="P174" s="24">
        <f t="shared" si="13"/>
        <v>0</v>
      </c>
      <c r="Q174" s="25">
        <f t="shared" si="14"/>
        <v>0.77777777777777779</v>
      </c>
      <c r="R174" s="26"/>
    </row>
    <row r="175" spans="1:18" ht="25.5" customHeight="1" x14ac:dyDescent="0.35">
      <c r="A175" s="21">
        <v>171</v>
      </c>
      <c r="B175" s="22" t="s">
        <v>875</v>
      </c>
      <c r="C175" s="14" t="s">
        <v>877</v>
      </c>
      <c r="D175" s="23" t="s">
        <v>31</v>
      </c>
      <c r="E175" s="23" t="s">
        <v>31</v>
      </c>
      <c r="F175" s="23" t="s">
        <v>35</v>
      </c>
      <c r="G175" s="23" t="s">
        <v>31</v>
      </c>
      <c r="H175" s="23" t="s">
        <v>35</v>
      </c>
      <c r="I175" s="23" t="s">
        <v>31</v>
      </c>
      <c r="J175" s="23" t="s">
        <v>31</v>
      </c>
      <c r="K175" s="23" t="s">
        <v>31</v>
      </c>
      <c r="L175" s="23" t="s">
        <v>31</v>
      </c>
      <c r="M175" s="24">
        <f t="shared" si="10"/>
        <v>7</v>
      </c>
      <c r="N175" s="24">
        <f t="shared" si="11"/>
        <v>0</v>
      </c>
      <c r="O175" s="24">
        <f t="shared" si="12"/>
        <v>2</v>
      </c>
      <c r="P175" s="24">
        <f t="shared" si="13"/>
        <v>0</v>
      </c>
      <c r="Q175" s="25">
        <f t="shared" si="14"/>
        <v>0.77777777777777779</v>
      </c>
      <c r="R175" s="26"/>
    </row>
    <row r="176" spans="1:18" ht="25.5" customHeight="1" x14ac:dyDescent="0.35">
      <c r="A176" s="21">
        <v>172</v>
      </c>
      <c r="B176" s="22" t="s">
        <v>875</v>
      </c>
      <c r="C176" s="14" t="s">
        <v>878</v>
      </c>
      <c r="D176" s="23" t="s">
        <v>31</v>
      </c>
      <c r="E176" s="23" t="s">
        <v>31</v>
      </c>
      <c r="F176" s="23" t="s">
        <v>35</v>
      </c>
      <c r="G176" s="23" t="s">
        <v>33</v>
      </c>
      <c r="H176" s="23" t="s">
        <v>35</v>
      </c>
      <c r="I176" s="23" t="s">
        <v>31</v>
      </c>
      <c r="J176" s="23" t="s">
        <v>31</v>
      </c>
      <c r="K176" s="23" t="s">
        <v>33</v>
      </c>
      <c r="L176" s="23" t="s">
        <v>33</v>
      </c>
      <c r="M176" s="24">
        <f t="shared" si="10"/>
        <v>4</v>
      </c>
      <c r="N176" s="24">
        <f t="shared" si="11"/>
        <v>3</v>
      </c>
      <c r="O176" s="24">
        <f t="shared" si="12"/>
        <v>2</v>
      </c>
      <c r="P176" s="24">
        <f t="shared" si="13"/>
        <v>0</v>
      </c>
      <c r="Q176" s="25">
        <f t="shared" si="14"/>
        <v>0.61111111111111116</v>
      </c>
      <c r="R176" s="26" t="s">
        <v>879</v>
      </c>
    </row>
    <row r="177" spans="1:18" ht="25.5" customHeight="1" x14ac:dyDescent="0.35">
      <c r="A177" s="21">
        <v>173</v>
      </c>
      <c r="B177" s="22" t="s">
        <v>875</v>
      </c>
      <c r="C177" s="14" t="s">
        <v>880</v>
      </c>
      <c r="D177" s="23" t="s">
        <v>33</v>
      </c>
      <c r="E177" s="23" t="s">
        <v>31</v>
      </c>
      <c r="F177" s="23" t="s">
        <v>35</v>
      </c>
      <c r="G177" s="23" t="s">
        <v>31</v>
      </c>
      <c r="H177" s="23" t="s">
        <v>35</v>
      </c>
      <c r="I177" s="23" t="s">
        <v>31</v>
      </c>
      <c r="J177" s="23" t="s">
        <v>31</v>
      </c>
      <c r="K177" s="23" t="s">
        <v>33</v>
      </c>
      <c r="L177" s="23" t="s">
        <v>33</v>
      </c>
      <c r="M177" s="24">
        <f t="shared" si="10"/>
        <v>4</v>
      </c>
      <c r="N177" s="24">
        <f t="shared" si="11"/>
        <v>3</v>
      </c>
      <c r="O177" s="24">
        <f t="shared" si="12"/>
        <v>2</v>
      </c>
      <c r="P177" s="24">
        <f t="shared" si="13"/>
        <v>0</v>
      </c>
      <c r="Q177" s="25">
        <f t="shared" si="14"/>
        <v>0.61111111111111116</v>
      </c>
      <c r="R177" s="26" t="s">
        <v>881</v>
      </c>
    </row>
    <row r="178" spans="1:18" ht="25.5" customHeight="1" x14ac:dyDescent="0.35">
      <c r="A178" s="21">
        <v>174</v>
      </c>
      <c r="B178" s="22" t="s">
        <v>875</v>
      </c>
      <c r="C178" s="14" t="s">
        <v>882</v>
      </c>
      <c r="D178" s="23" t="s">
        <v>35</v>
      </c>
      <c r="E178" s="23" t="s">
        <v>616</v>
      </c>
      <c r="F178" s="23" t="s">
        <v>35</v>
      </c>
      <c r="G178" s="23" t="s">
        <v>616</v>
      </c>
      <c r="H178" s="23" t="s">
        <v>35</v>
      </c>
      <c r="I178" s="23" t="s">
        <v>33</v>
      </c>
      <c r="J178" s="23" t="s">
        <v>613</v>
      </c>
      <c r="K178" s="23" t="s">
        <v>35</v>
      </c>
      <c r="L178" s="23" t="s">
        <v>35</v>
      </c>
      <c r="M178" s="24">
        <f t="shared" si="10"/>
        <v>1</v>
      </c>
      <c r="N178" s="24">
        <f t="shared" si="11"/>
        <v>3</v>
      </c>
      <c r="O178" s="24">
        <f t="shared" si="12"/>
        <v>5</v>
      </c>
      <c r="P178" s="24">
        <f t="shared" si="13"/>
        <v>0</v>
      </c>
      <c r="Q178" s="25">
        <f t="shared" si="14"/>
        <v>0.27777777777777779</v>
      </c>
      <c r="R178" s="26" t="s">
        <v>883</v>
      </c>
    </row>
    <row r="179" spans="1:18" ht="25.5" customHeight="1" x14ac:dyDescent="0.35">
      <c r="A179" s="21">
        <v>175</v>
      </c>
      <c r="B179" s="22" t="s">
        <v>875</v>
      </c>
      <c r="C179" s="14" t="s">
        <v>884</v>
      </c>
      <c r="D179" s="23" t="s">
        <v>33</v>
      </c>
      <c r="E179" s="23" t="s">
        <v>31</v>
      </c>
      <c r="F179" s="23" t="s">
        <v>35</v>
      </c>
      <c r="G179" s="23" t="s">
        <v>31</v>
      </c>
      <c r="H179" s="23" t="s">
        <v>35</v>
      </c>
      <c r="I179" s="23" t="s">
        <v>31</v>
      </c>
      <c r="J179" s="23" t="s">
        <v>31</v>
      </c>
      <c r="K179" s="23" t="s">
        <v>33</v>
      </c>
      <c r="L179" s="23" t="s">
        <v>33</v>
      </c>
      <c r="M179" s="24">
        <f t="shared" si="10"/>
        <v>4</v>
      </c>
      <c r="N179" s="24">
        <f t="shared" si="11"/>
        <v>3</v>
      </c>
      <c r="O179" s="24">
        <f t="shared" si="12"/>
        <v>2</v>
      </c>
      <c r="P179" s="24">
        <f t="shared" si="13"/>
        <v>0</v>
      </c>
      <c r="Q179" s="25">
        <f t="shared" si="14"/>
        <v>0.61111111111111116</v>
      </c>
      <c r="R179" s="26"/>
    </row>
    <row r="180" spans="1:18" ht="25.5" customHeight="1" x14ac:dyDescent="0.35">
      <c r="A180" s="21">
        <v>176</v>
      </c>
      <c r="B180" s="22" t="s">
        <v>875</v>
      </c>
      <c r="C180" s="14" t="s">
        <v>885</v>
      </c>
      <c r="D180" s="23" t="s">
        <v>35</v>
      </c>
      <c r="E180" s="23" t="s">
        <v>33</v>
      </c>
      <c r="F180" s="23" t="s">
        <v>35</v>
      </c>
      <c r="G180" s="23" t="s">
        <v>33</v>
      </c>
      <c r="H180" s="23" t="s">
        <v>35</v>
      </c>
      <c r="I180" s="23" t="s">
        <v>33</v>
      </c>
      <c r="J180" s="23" t="s">
        <v>33</v>
      </c>
      <c r="K180" s="23" t="s">
        <v>35</v>
      </c>
      <c r="L180" s="23" t="s">
        <v>35</v>
      </c>
      <c r="M180" s="24">
        <f t="shared" si="10"/>
        <v>0</v>
      </c>
      <c r="N180" s="24">
        <f t="shared" si="11"/>
        <v>4</v>
      </c>
      <c r="O180" s="24">
        <f t="shared" si="12"/>
        <v>5</v>
      </c>
      <c r="P180" s="24">
        <f t="shared" si="13"/>
        <v>0</v>
      </c>
      <c r="Q180" s="25">
        <f t="shared" si="14"/>
        <v>0.22222222222222221</v>
      </c>
      <c r="R180" s="26" t="s">
        <v>886</v>
      </c>
    </row>
    <row r="181" spans="1:18" ht="25.5" customHeight="1" x14ac:dyDescent="0.35">
      <c r="A181" s="21">
        <v>177</v>
      </c>
      <c r="B181" s="22" t="s">
        <v>875</v>
      </c>
      <c r="C181" s="14" t="s">
        <v>887</v>
      </c>
      <c r="D181" s="23" t="s">
        <v>35</v>
      </c>
      <c r="E181" s="23" t="s">
        <v>33</v>
      </c>
      <c r="F181" s="23" t="s">
        <v>35</v>
      </c>
      <c r="G181" s="23" t="s">
        <v>35</v>
      </c>
      <c r="H181" s="23" t="s">
        <v>35</v>
      </c>
      <c r="I181" s="23" t="s">
        <v>33</v>
      </c>
      <c r="J181" s="23" t="s">
        <v>33</v>
      </c>
      <c r="K181" s="23" t="s">
        <v>35</v>
      </c>
      <c r="L181" s="23" t="s">
        <v>35</v>
      </c>
      <c r="M181" s="24">
        <f t="shared" si="10"/>
        <v>0</v>
      </c>
      <c r="N181" s="24">
        <f t="shared" si="11"/>
        <v>3</v>
      </c>
      <c r="O181" s="24">
        <f t="shared" si="12"/>
        <v>6</v>
      </c>
      <c r="P181" s="24">
        <f t="shared" si="13"/>
        <v>0</v>
      </c>
      <c r="Q181" s="25">
        <f t="shared" si="14"/>
        <v>0.16666666666666666</v>
      </c>
      <c r="R181" s="26" t="s">
        <v>852</v>
      </c>
    </row>
    <row r="182" spans="1:18" ht="25.5" customHeight="1" x14ac:dyDescent="0.35">
      <c r="A182" s="21">
        <v>178</v>
      </c>
      <c r="B182" s="22" t="s">
        <v>875</v>
      </c>
      <c r="C182" s="14" t="s">
        <v>888</v>
      </c>
      <c r="D182" s="23" t="s">
        <v>35</v>
      </c>
      <c r="E182" s="23" t="s">
        <v>35</v>
      </c>
      <c r="F182" s="23" t="s">
        <v>35</v>
      </c>
      <c r="G182" s="23" t="s">
        <v>35</v>
      </c>
      <c r="H182" s="23" t="s">
        <v>35</v>
      </c>
      <c r="I182" s="23" t="s">
        <v>35</v>
      </c>
      <c r="J182" s="23" t="s">
        <v>35</v>
      </c>
      <c r="K182" s="23" t="s">
        <v>35</v>
      </c>
      <c r="L182" s="23" t="s">
        <v>35</v>
      </c>
      <c r="M182" s="24">
        <f t="shared" si="10"/>
        <v>0</v>
      </c>
      <c r="N182" s="24">
        <f t="shared" si="11"/>
        <v>0</v>
      </c>
      <c r="O182" s="24">
        <f t="shared" si="12"/>
        <v>9</v>
      </c>
      <c r="P182" s="24">
        <f t="shared" si="13"/>
        <v>0</v>
      </c>
      <c r="Q182" s="25">
        <f t="shared" si="14"/>
        <v>0</v>
      </c>
      <c r="R182" s="26" t="s">
        <v>798</v>
      </c>
    </row>
    <row r="183" spans="1:18" ht="25.5" customHeight="1" x14ac:dyDescent="0.35">
      <c r="A183" s="21">
        <v>179</v>
      </c>
      <c r="B183" s="22" t="s">
        <v>875</v>
      </c>
      <c r="C183" s="14" t="s">
        <v>889</v>
      </c>
      <c r="D183" s="23" t="s">
        <v>33</v>
      </c>
      <c r="E183" s="23" t="s">
        <v>33</v>
      </c>
      <c r="F183" s="23" t="s">
        <v>35</v>
      </c>
      <c r="G183" s="23" t="s">
        <v>33</v>
      </c>
      <c r="H183" s="23" t="s">
        <v>35</v>
      </c>
      <c r="I183" s="23" t="s">
        <v>33</v>
      </c>
      <c r="J183" s="23" t="s">
        <v>33</v>
      </c>
      <c r="K183" s="23" t="s">
        <v>33</v>
      </c>
      <c r="L183" s="23" t="s">
        <v>33</v>
      </c>
      <c r="M183" s="24">
        <f t="shared" si="10"/>
        <v>0</v>
      </c>
      <c r="N183" s="24">
        <f t="shared" si="11"/>
        <v>7</v>
      </c>
      <c r="O183" s="24">
        <f t="shared" si="12"/>
        <v>2</v>
      </c>
      <c r="P183" s="24">
        <f t="shared" si="13"/>
        <v>0</v>
      </c>
      <c r="Q183" s="25">
        <f t="shared" si="14"/>
        <v>0.3888888888888889</v>
      </c>
      <c r="R183" s="26"/>
    </row>
    <row r="184" spans="1:18" ht="25.5" customHeight="1" x14ac:dyDescent="0.35">
      <c r="A184" s="21">
        <v>180</v>
      </c>
      <c r="B184" s="22" t="s">
        <v>875</v>
      </c>
      <c r="C184" s="14" t="s">
        <v>890</v>
      </c>
      <c r="D184" s="23" t="s">
        <v>35</v>
      </c>
      <c r="E184" s="23" t="s">
        <v>35</v>
      </c>
      <c r="F184" s="23" t="s">
        <v>35</v>
      </c>
      <c r="G184" s="23" t="s">
        <v>35</v>
      </c>
      <c r="H184" s="23" t="s">
        <v>35</v>
      </c>
      <c r="I184" s="23" t="s">
        <v>35</v>
      </c>
      <c r="J184" s="23" t="s">
        <v>35</v>
      </c>
      <c r="K184" s="23" t="s">
        <v>35</v>
      </c>
      <c r="L184" s="23" t="s">
        <v>35</v>
      </c>
      <c r="M184" s="24">
        <f t="shared" si="10"/>
        <v>0</v>
      </c>
      <c r="N184" s="24">
        <f t="shared" si="11"/>
        <v>0</v>
      </c>
      <c r="O184" s="24">
        <f t="shared" si="12"/>
        <v>9</v>
      </c>
      <c r="P184" s="24">
        <f t="shared" si="13"/>
        <v>0</v>
      </c>
      <c r="Q184" s="25">
        <f t="shared" si="14"/>
        <v>0</v>
      </c>
      <c r="R184" s="26" t="s">
        <v>798</v>
      </c>
    </row>
    <row r="185" spans="1:18" ht="25.5" customHeight="1" x14ac:dyDescent="0.35">
      <c r="A185" s="21">
        <v>181</v>
      </c>
      <c r="B185" s="22" t="s">
        <v>875</v>
      </c>
      <c r="C185" s="14" t="s">
        <v>891</v>
      </c>
      <c r="D185" s="23" t="s">
        <v>35</v>
      </c>
      <c r="E185" s="23" t="s">
        <v>613</v>
      </c>
      <c r="F185" s="23" t="s">
        <v>35</v>
      </c>
      <c r="G185" s="23" t="s">
        <v>613</v>
      </c>
      <c r="H185" s="23" t="s">
        <v>35</v>
      </c>
      <c r="I185" s="23" t="s">
        <v>616</v>
      </c>
      <c r="J185" s="23" t="s">
        <v>613</v>
      </c>
      <c r="K185" s="23" t="s">
        <v>35</v>
      </c>
      <c r="L185" s="23" t="s">
        <v>35</v>
      </c>
      <c r="M185" s="24">
        <f t="shared" si="10"/>
        <v>3</v>
      </c>
      <c r="N185" s="24">
        <f t="shared" si="11"/>
        <v>1</v>
      </c>
      <c r="O185" s="24">
        <f t="shared" si="12"/>
        <v>5</v>
      </c>
      <c r="P185" s="24">
        <f t="shared" si="13"/>
        <v>0</v>
      </c>
      <c r="Q185" s="25">
        <f t="shared" si="14"/>
        <v>0.3888888888888889</v>
      </c>
      <c r="R185" s="26" t="s">
        <v>892</v>
      </c>
    </row>
    <row r="186" spans="1:18" ht="25.5" customHeight="1" x14ac:dyDescent="0.35">
      <c r="A186" s="21">
        <v>182</v>
      </c>
      <c r="B186" s="22" t="s">
        <v>875</v>
      </c>
      <c r="C186" s="14" t="s">
        <v>893</v>
      </c>
      <c r="D186" s="23" t="s">
        <v>35</v>
      </c>
      <c r="E186" s="23" t="s">
        <v>37</v>
      </c>
      <c r="F186" s="23" t="s">
        <v>35</v>
      </c>
      <c r="G186" s="23" t="s">
        <v>37</v>
      </c>
      <c r="H186" s="23" t="s">
        <v>35</v>
      </c>
      <c r="I186" s="23" t="s">
        <v>37</v>
      </c>
      <c r="J186" s="23" t="s">
        <v>33</v>
      </c>
      <c r="K186" s="23" t="s">
        <v>35</v>
      </c>
      <c r="L186" s="23" t="s">
        <v>35</v>
      </c>
      <c r="M186" s="24">
        <f t="shared" si="10"/>
        <v>0</v>
      </c>
      <c r="N186" s="24">
        <f t="shared" si="11"/>
        <v>1</v>
      </c>
      <c r="O186" s="24">
        <f t="shared" si="12"/>
        <v>5</v>
      </c>
      <c r="P186" s="24">
        <f t="shared" si="13"/>
        <v>3</v>
      </c>
      <c r="Q186" s="25">
        <f t="shared" si="14"/>
        <v>5.5555555555555552E-2</v>
      </c>
      <c r="R186" s="26"/>
    </row>
    <row r="187" spans="1:18" ht="25.5" customHeight="1" x14ac:dyDescent="0.35">
      <c r="A187" s="21">
        <v>183</v>
      </c>
      <c r="B187" s="22" t="s">
        <v>875</v>
      </c>
      <c r="C187" s="14" t="s">
        <v>894</v>
      </c>
      <c r="D187" s="23" t="s">
        <v>35</v>
      </c>
      <c r="E187" s="23" t="s">
        <v>31</v>
      </c>
      <c r="F187" s="23" t="s">
        <v>35</v>
      </c>
      <c r="G187" s="23" t="s">
        <v>37</v>
      </c>
      <c r="H187" s="23" t="s">
        <v>35</v>
      </c>
      <c r="I187" s="23" t="s">
        <v>37</v>
      </c>
      <c r="J187" s="23" t="s">
        <v>31</v>
      </c>
      <c r="K187" s="23" t="s">
        <v>35</v>
      </c>
      <c r="L187" s="23" t="s">
        <v>35</v>
      </c>
      <c r="M187" s="24">
        <f t="shared" si="10"/>
        <v>2</v>
      </c>
      <c r="N187" s="24">
        <f t="shared" si="11"/>
        <v>0</v>
      </c>
      <c r="O187" s="24">
        <f t="shared" si="12"/>
        <v>5</v>
      </c>
      <c r="P187" s="24">
        <f t="shared" si="13"/>
        <v>2</v>
      </c>
      <c r="Q187" s="25">
        <f t="shared" si="14"/>
        <v>0.22222222222222221</v>
      </c>
      <c r="R187" s="26" t="s">
        <v>895</v>
      </c>
    </row>
    <row r="188" spans="1:18" ht="25.5" customHeight="1" x14ac:dyDescent="0.35">
      <c r="A188" s="21">
        <v>184</v>
      </c>
      <c r="B188" s="22" t="s">
        <v>875</v>
      </c>
      <c r="C188" s="14" t="s">
        <v>896</v>
      </c>
      <c r="D188" s="23" t="s">
        <v>35</v>
      </c>
      <c r="E188" s="23" t="s">
        <v>613</v>
      </c>
      <c r="F188" s="23" t="s">
        <v>579</v>
      </c>
      <c r="G188" s="23" t="s">
        <v>33</v>
      </c>
      <c r="H188" s="23" t="s">
        <v>35</v>
      </c>
      <c r="I188" s="23" t="s">
        <v>31</v>
      </c>
      <c r="J188" s="23" t="s">
        <v>31</v>
      </c>
      <c r="K188" s="23" t="s">
        <v>613</v>
      </c>
      <c r="L188" s="23" t="s">
        <v>33</v>
      </c>
      <c r="M188" s="24">
        <f t="shared" si="10"/>
        <v>4</v>
      </c>
      <c r="N188" s="24">
        <f t="shared" si="11"/>
        <v>3</v>
      </c>
      <c r="O188" s="24">
        <f t="shared" si="12"/>
        <v>2</v>
      </c>
      <c r="P188" s="24">
        <f t="shared" si="13"/>
        <v>0</v>
      </c>
      <c r="Q188" s="25">
        <f t="shared" si="14"/>
        <v>0.61111111111111116</v>
      </c>
      <c r="R188" s="26" t="s">
        <v>897</v>
      </c>
    </row>
    <row r="189" spans="1:18" ht="25.5" customHeight="1" x14ac:dyDescent="0.35">
      <c r="A189" s="21">
        <v>185</v>
      </c>
      <c r="B189" s="22" t="s">
        <v>875</v>
      </c>
      <c r="C189" s="14" t="s">
        <v>898</v>
      </c>
      <c r="D189" s="23" t="s">
        <v>35</v>
      </c>
      <c r="E189" s="23" t="s">
        <v>33</v>
      </c>
      <c r="F189" s="23" t="s">
        <v>35</v>
      </c>
      <c r="G189" s="23" t="s">
        <v>35</v>
      </c>
      <c r="H189" s="23" t="s">
        <v>35</v>
      </c>
      <c r="I189" s="23" t="s">
        <v>37</v>
      </c>
      <c r="J189" s="23" t="s">
        <v>33</v>
      </c>
      <c r="K189" s="23" t="s">
        <v>33</v>
      </c>
      <c r="L189" s="23" t="s">
        <v>35</v>
      </c>
      <c r="M189" s="24">
        <f t="shared" si="10"/>
        <v>0</v>
      </c>
      <c r="N189" s="24">
        <f t="shared" si="11"/>
        <v>3</v>
      </c>
      <c r="O189" s="24">
        <f t="shared" si="12"/>
        <v>5</v>
      </c>
      <c r="P189" s="24">
        <f t="shared" si="13"/>
        <v>1</v>
      </c>
      <c r="Q189" s="25">
        <f t="shared" si="14"/>
        <v>0.16666666666666666</v>
      </c>
      <c r="R189" s="26" t="s">
        <v>899</v>
      </c>
    </row>
    <row r="190" spans="1:18" ht="25.5" customHeight="1" x14ac:dyDescent="0.35">
      <c r="A190" s="21">
        <v>186</v>
      </c>
      <c r="B190" s="22" t="s">
        <v>875</v>
      </c>
      <c r="C190" s="14" t="s">
        <v>900</v>
      </c>
      <c r="D190" s="23" t="s">
        <v>33</v>
      </c>
      <c r="E190" s="23" t="s">
        <v>31</v>
      </c>
      <c r="F190" s="23" t="s">
        <v>580</v>
      </c>
      <c r="G190" s="23" t="s">
        <v>33</v>
      </c>
      <c r="H190" s="23" t="s">
        <v>35</v>
      </c>
      <c r="I190" s="23" t="s">
        <v>33</v>
      </c>
      <c r="J190" s="23" t="s">
        <v>31</v>
      </c>
      <c r="K190" s="23" t="s">
        <v>31</v>
      </c>
      <c r="L190" s="23" t="s">
        <v>33</v>
      </c>
      <c r="M190" s="24">
        <f t="shared" si="10"/>
        <v>4</v>
      </c>
      <c r="N190" s="24">
        <f t="shared" si="11"/>
        <v>4</v>
      </c>
      <c r="O190" s="24">
        <f t="shared" si="12"/>
        <v>1</v>
      </c>
      <c r="P190" s="24">
        <f t="shared" si="13"/>
        <v>0</v>
      </c>
      <c r="Q190" s="25">
        <f t="shared" si="14"/>
        <v>0.66666666666666663</v>
      </c>
      <c r="R190" s="26" t="s">
        <v>901</v>
      </c>
    </row>
    <row r="191" spans="1:18" ht="25.5" customHeight="1" x14ac:dyDescent="0.35">
      <c r="A191" s="21">
        <v>187</v>
      </c>
      <c r="B191" s="22" t="s">
        <v>875</v>
      </c>
      <c r="C191" s="14" t="s">
        <v>902</v>
      </c>
      <c r="D191" s="23" t="s">
        <v>35</v>
      </c>
      <c r="E191" s="23" t="s">
        <v>33</v>
      </c>
      <c r="F191" s="23" t="s">
        <v>35</v>
      </c>
      <c r="G191" s="23" t="s">
        <v>33</v>
      </c>
      <c r="H191" s="23" t="s">
        <v>35</v>
      </c>
      <c r="I191" s="23" t="s">
        <v>37</v>
      </c>
      <c r="J191" s="23" t="s">
        <v>31</v>
      </c>
      <c r="K191" s="23" t="s">
        <v>33</v>
      </c>
      <c r="L191" s="23" t="s">
        <v>33</v>
      </c>
      <c r="M191" s="24">
        <f t="shared" si="10"/>
        <v>1</v>
      </c>
      <c r="N191" s="24">
        <f t="shared" si="11"/>
        <v>4</v>
      </c>
      <c r="O191" s="24">
        <f t="shared" si="12"/>
        <v>3</v>
      </c>
      <c r="P191" s="24">
        <f t="shared" si="13"/>
        <v>1</v>
      </c>
      <c r="Q191" s="25">
        <f t="shared" si="14"/>
        <v>0.33333333333333331</v>
      </c>
      <c r="R191" s="26" t="s">
        <v>903</v>
      </c>
    </row>
    <row r="192" spans="1:18" ht="25.5" customHeight="1" x14ac:dyDescent="0.35">
      <c r="A192" s="21">
        <v>188</v>
      </c>
      <c r="B192" s="22" t="s">
        <v>904</v>
      </c>
      <c r="C192" s="14" t="s">
        <v>905</v>
      </c>
      <c r="D192" s="23" t="s">
        <v>31</v>
      </c>
      <c r="E192" s="23" t="s">
        <v>31</v>
      </c>
      <c r="F192" s="23" t="s">
        <v>31</v>
      </c>
      <c r="G192" s="23" t="s">
        <v>31</v>
      </c>
      <c r="H192" s="23" t="s">
        <v>31</v>
      </c>
      <c r="I192" s="23" t="s">
        <v>31</v>
      </c>
      <c r="J192" s="23" t="s">
        <v>31</v>
      </c>
      <c r="K192" s="23" t="s">
        <v>31</v>
      </c>
      <c r="L192" s="23" t="s">
        <v>31</v>
      </c>
      <c r="M192" s="24">
        <f t="shared" si="10"/>
        <v>9</v>
      </c>
      <c r="N192" s="24">
        <f t="shared" si="11"/>
        <v>0</v>
      </c>
      <c r="O192" s="24">
        <f t="shared" si="12"/>
        <v>0</v>
      </c>
      <c r="P192" s="24">
        <f t="shared" si="13"/>
        <v>0</v>
      </c>
      <c r="Q192" s="25">
        <f t="shared" si="14"/>
        <v>1</v>
      </c>
      <c r="R192" s="26" t="s">
        <v>906</v>
      </c>
    </row>
    <row r="193" spans="1:18" ht="25.5" customHeight="1" x14ac:dyDescent="0.35">
      <c r="A193" s="21">
        <v>189</v>
      </c>
      <c r="B193" s="22" t="s">
        <v>904</v>
      </c>
      <c r="C193" s="14" t="s">
        <v>907</v>
      </c>
      <c r="D193" s="23" t="s">
        <v>31</v>
      </c>
      <c r="E193" s="23" t="s">
        <v>31</v>
      </c>
      <c r="F193" s="23" t="s">
        <v>31</v>
      </c>
      <c r="G193" s="23" t="s">
        <v>35</v>
      </c>
      <c r="H193" s="23" t="s">
        <v>31</v>
      </c>
      <c r="I193" s="23" t="s">
        <v>37</v>
      </c>
      <c r="J193" s="23" t="s">
        <v>31</v>
      </c>
      <c r="K193" s="23" t="s">
        <v>31</v>
      </c>
      <c r="L193" s="23" t="s">
        <v>33</v>
      </c>
      <c r="M193" s="24">
        <f t="shared" si="10"/>
        <v>6</v>
      </c>
      <c r="N193" s="24">
        <f t="shared" si="11"/>
        <v>1</v>
      </c>
      <c r="O193" s="24">
        <f t="shared" si="12"/>
        <v>1</v>
      </c>
      <c r="P193" s="24">
        <f t="shared" si="13"/>
        <v>1</v>
      </c>
      <c r="Q193" s="25">
        <f t="shared" si="14"/>
        <v>0.72222222222222221</v>
      </c>
      <c r="R193" s="26" t="s">
        <v>908</v>
      </c>
    </row>
    <row r="194" spans="1:18" ht="25.5" customHeight="1" x14ac:dyDescent="0.35">
      <c r="A194" s="21">
        <v>190</v>
      </c>
      <c r="B194" s="22" t="s">
        <v>904</v>
      </c>
      <c r="C194" s="14" t="s">
        <v>909</v>
      </c>
      <c r="D194" s="23" t="s">
        <v>31</v>
      </c>
      <c r="E194" s="23" t="s">
        <v>31</v>
      </c>
      <c r="F194" s="23" t="s">
        <v>31</v>
      </c>
      <c r="G194" s="23" t="s">
        <v>35</v>
      </c>
      <c r="H194" s="23" t="s">
        <v>31</v>
      </c>
      <c r="I194" s="23" t="s">
        <v>37</v>
      </c>
      <c r="J194" s="23" t="s">
        <v>31</v>
      </c>
      <c r="K194" s="23" t="s">
        <v>31</v>
      </c>
      <c r="L194" s="23" t="s">
        <v>33</v>
      </c>
      <c r="M194" s="24">
        <f t="shared" si="10"/>
        <v>6</v>
      </c>
      <c r="N194" s="24">
        <f t="shared" si="11"/>
        <v>1</v>
      </c>
      <c r="O194" s="24">
        <f t="shared" si="12"/>
        <v>1</v>
      </c>
      <c r="P194" s="24">
        <f t="shared" si="13"/>
        <v>1</v>
      </c>
      <c r="Q194" s="25">
        <f t="shared" si="14"/>
        <v>0.72222222222222221</v>
      </c>
      <c r="R194" s="26"/>
    </row>
    <row r="195" spans="1:18" ht="25.5" customHeight="1" x14ac:dyDescent="0.35">
      <c r="A195" s="21">
        <v>191</v>
      </c>
      <c r="B195" s="22" t="s">
        <v>904</v>
      </c>
      <c r="C195" s="14" t="s">
        <v>910</v>
      </c>
      <c r="D195" s="23" t="s">
        <v>31</v>
      </c>
      <c r="E195" s="23" t="s">
        <v>31</v>
      </c>
      <c r="F195" s="23" t="s">
        <v>33</v>
      </c>
      <c r="G195" s="23" t="s">
        <v>35</v>
      </c>
      <c r="H195" s="23" t="s">
        <v>31</v>
      </c>
      <c r="I195" s="23" t="s">
        <v>37</v>
      </c>
      <c r="J195" s="23" t="s">
        <v>33</v>
      </c>
      <c r="K195" s="23" t="s">
        <v>31</v>
      </c>
      <c r="L195" s="23" t="s">
        <v>33</v>
      </c>
      <c r="M195" s="24">
        <f t="shared" si="10"/>
        <v>4</v>
      </c>
      <c r="N195" s="24">
        <f t="shared" si="11"/>
        <v>3</v>
      </c>
      <c r="O195" s="24">
        <f t="shared" si="12"/>
        <v>1</v>
      </c>
      <c r="P195" s="24">
        <f t="shared" si="13"/>
        <v>1</v>
      </c>
      <c r="Q195" s="25">
        <f t="shared" si="14"/>
        <v>0.61111111111111116</v>
      </c>
      <c r="R195" s="26" t="s">
        <v>911</v>
      </c>
    </row>
    <row r="196" spans="1:18" ht="25.5" customHeight="1" x14ac:dyDescent="0.35">
      <c r="A196" s="21">
        <v>192</v>
      </c>
      <c r="B196" s="22" t="s">
        <v>904</v>
      </c>
      <c r="C196" s="14" t="s">
        <v>912</v>
      </c>
      <c r="D196" s="23" t="s">
        <v>35</v>
      </c>
      <c r="E196" s="23" t="s">
        <v>33</v>
      </c>
      <c r="F196" s="23" t="s">
        <v>35</v>
      </c>
      <c r="G196" s="23" t="s">
        <v>35</v>
      </c>
      <c r="H196" s="23" t="s">
        <v>35</v>
      </c>
      <c r="I196" s="23" t="s">
        <v>31</v>
      </c>
      <c r="J196" s="23" t="s">
        <v>33</v>
      </c>
      <c r="K196" s="23" t="s">
        <v>31</v>
      </c>
      <c r="L196" s="23" t="s">
        <v>35</v>
      </c>
      <c r="M196" s="24">
        <f t="shared" si="10"/>
        <v>2</v>
      </c>
      <c r="N196" s="24">
        <f t="shared" si="11"/>
        <v>2</v>
      </c>
      <c r="O196" s="24">
        <f t="shared" si="12"/>
        <v>5</v>
      </c>
      <c r="P196" s="24">
        <f t="shared" si="13"/>
        <v>0</v>
      </c>
      <c r="Q196" s="25">
        <f t="shared" si="14"/>
        <v>0.33333333333333331</v>
      </c>
      <c r="R196" s="26" t="s">
        <v>913</v>
      </c>
    </row>
    <row r="197" spans="1:18" ht="25.5" customHeight="1" x14ac:dyDescent="0.35">
      <c r="A197" s="21">
        <v>193</v>
      </c>
      <c r="B197" s="22" t="s">
        <v>904</v>
      </c>
      <c r="C197" s="14" t="s">
        <v>914</v>
      </c>
      <c r="D197" s="23" t="s">
        <v>35</v>
      </c>
      <c r="E197" s="23" t="s">
        <v>613</v>
      </c>
      <c r="F197" s="23" t="s">
        <v>35</v>
      </c>
      <c r="G197" s="23" t="s">
        <v>35</v>
      </c>
      <c r="H197" s="23" t="s">
        <v>35</v>
      </c>
      <c r="I197" s="23" t="s">
        <v>613</v>
      </c>
      <c r="J197" s="23" t="s">
        <v>33</v>
      </c>
      <c r="K197" s="23" t="s">
        <v>613</v>
      </c>
      <c r="L197" s="23" t="s">
        <v>35</v>
      </c>
      <c r="M197" s="24">
        <f t="shared" ref="M197:M260" si="15">SUMPRODUCT(--ISNUMBER(SEARCH("✓",D197:L197)))</f>
        <v>3</v>
      </c>
      <c r="N197" s="24">
        <f t="shared" ref="N197:N260" si="16">SUMPRODUCT(--ISNUMBER(SEARCH("◐",D197:L197)))</f>
        <v>1</v>
      </c>
      <c r="O197" s="24">
        <f t="shared" ref="O197:O260" si="17">SUMPRODUCT(--ISNUMBER(SEARCH("—",D197:L197)))</f>
        <v>5</v>
      </c>
      <c r="P197" s="24">
        <f t="shared" ref="P197:P260" si="18">9-M197-N197-O197</f>
        <v>0</v>
      </c>
      <c r="Q197" s="25">
        <f t="shared" ref="Q197:Q260" si="19">(M197+0.5*N197)/9</f>
        <v>0.3888888888888889</v>
      </c>
      <c r="R197" s="26" t="s">
        <v>915</v>
      </c>
    </row>
    <row r="198" spans="1:18" ht="25.5" customHeight="1" x14ac:dyDescent="0.35">
      <c r="A198" s="21">
        <v>194</v>
      </c>
      <c r="B198" s="22" t="s">
        <v>904</v>
      </c>
      <c r="C198" s="14" t="s">
        <v>916</v>
      </c>
      <c r="D198" s="23" t="s">
        <v>917</v>
      </c>
      <c r="E198" s="23" t="s">
        <v>33</v>
      </c>
      <c r="F198" s="23" t="s">
        <v>35</v>
      </c>
      <c r="G198" s="23" t="s">
        <v>35</v>
      </c>
      <c r="H198" s="23" t="s">
        <v>35</v>
      </c>
      <c r="I198" s="23" t="s">
        <v>613</v>
      </c>
      <c r="J198" s="23" t="s">
        <v>35</v>
      </c>
      <c r="K198" s="23" t="s">
        <v>33</v>
      </c>
      <c r="L198" s="23" t="s">
        <v>35</v>
      </c>
      <c r="M198" s="24">
        <f t="shared" si="15"/>
        <v>1</v>
      </c>
      <c r="N198" s="24">
        <f t="shared" si="16"/>
        <v>3</v>
      </c>
      <c r="O198" s="24">
        <f t="shared" si="17"/>
        <v>5</v>
      </c>
      <c r="P198" s="24">
        <f t="shared" si="18"/>
        <v>0</v>
      </c>
      <c r="Q198" s="25">
        <f t="shared" si="19"/>
        <v>0.27777777777777779</v>
      </c>
      <c r="R198" s="26" t="s">
        <v>918</v>
      </c>
    </row>
    <row r="199" spans="1:18" ht="25.5" customHeight="1" x14ac:dyDescent="0.35">
      <c r="A199" s="21">
        <v>195</v>
      </c>
      <c r="B199" s="22" t="s">
        <v>904</v>
      </c>
      <c r="C199" s="14" t="s">
        <v>919</v>
      </c>
      <c r="D199" s="23" t="s">
        <v>35</v>
      </c>
      <c r="E199" s="23" t="s">
        <v>33</v>
      </c>
      <c r="F199" s="23" t="s">
        <v>35</v>
      </c>
      <c r="G199" s="23" t="s">
        <v>35</v>
      </c>
      <c r="H199" s="23" t="s">
        <v>35</v>
      </c>
      <c r="I199" s="23" t="s">
        <v>31</v>
      </c>
      <c r="J199" s="23" t="s">
        <v>35</v>
      </c>
      <c r="K199" s="23" t="s">
        <v>35</v>
      </c>
      <c r="L199" s="23" t="s">
        <v>35</v>
      </c>
      <c r="M199" s="24">
        <f t="shared" si="15"/>
        <v>1</v>
      </c>
      <c r="N199" s="24">
        <f t="shared" si="16"/>
        <v>1</v>
      </c>
      <c r="O199" s="24">
        <f t="shared" si="17"/>
        <v>7</v>
      </c>
      <c r="P199" s="24">
        <f t="shared" si="18"/>
        <v>0</v>
      </c>
      <c r="Q199" s="25">
        <f t="shared" si="19"/>
        <v>0.16666666666666666</v>
      </c>
      <c r="R199" s="26" t="s">
        <v>920</v>
      </c>
    </row>
    <row r="200" spans="1:18" ht="25.5" customHeight="1" x14ac:dyDescent="0.35">
      <c r="A200" s="21">
        <v>196</v>
      </c>
      <c r="B200" s="22" t="s">
        <v>904</v>
      </c>
      <c r="C200" s="14" t="s">
        <v>921</v>
      </c>
      <c r="D200" s="23" t="s">
        <v>35</v>
      </c>
      <c r="E200" s="23" t="s">
        <v>33</v>
      </c>
      <c r="F200" s="23" t="s">
        <v>35</v>
      </c>
      <c r="G200" s="23" t="s">
        <v>35</v>
      </c>
      <c r="H200" s="23" t="s">
        <v>35</v>
      </c>
      <c r="I200" s="23" t="s">
        <v>31</v>
      </c>
      <c r="J200" s="23" t="s">
        <v>35</v>
      </c>
      <c r="K200" s="23" t="s">
        <v>33</v>
      </c>
      <c r="L200" s="23" t="s">
        <v>35</v>
      </c>
      <c r="M200" s="24">
        <f t="shared" si="15"/>
        <v>1</v>
      </c>
      <c r="N200" s="24">
        <f t="shared" si="16"/>
        <v>2</v>
      </c>
      <c r="O200" s="24">
        <f t="shared" si="17"/>
        <v>6</v>
      </c>
      <c r="P200" s="24">
        <f t="shared" si="18"/>
        <v>0</v>
      </c>
      <c r="Q200" s="25">
        <f t="shared" si="19"/>
        <v>0.22222222222222221</v>
      </c>
      <c r="R200" s="26"/>
    </row>
    <row r="201" spans="1:18" ht="25.5" customHeight="1" x14ac:dyDescent="0.35">
      <c r="A201" s="21">
        <v>197</v>
      </c>
      <c r="B201" s="22" t="s">
        <v>904</v>
      </c>
      <c r="C201" s="14" t="s">
        <v>922</v>
      </c>
      <c r="D201" s="23" t="s">
        <v>35</v>
      </c>
      <c r="E201" s="23" t="s">
        <v>37</v>
      </c>
      <c r="F201" s="23" t="s">
        <v>35</v>
      </c>
      <c r="G201" s="23" t="s">
        <v>35</v>
      </c>
      <c r="H201" s="23" t="s">
        <v>35</v>
      </c>
      <c r="I201" s="23" t="s">
        <v>33</v>
      </c>
      <c r="J201" s="23" t="s">
        <v>35</v>
      </c>
      <c r="K201" s="23" t="s">
        <v>37</v>
      </c>
      <c r="L201" s="23" t="s">
        <v>35</v>
      </c>
      <c r="M201" s="24">
        <f t="shared" si="15"/>
        <v>0</v>
      </c>
      <c r="N201" s="24">
        <f t="shared" si="16"/>
        <v>1</v>
      </c>
      <c r="O201" s="24">
        <f t="shared" si="17"/>
        <v>6</v>
      </c>
      <c r="P201" s="24">
        <f t="shared" si="18"/>
        <v>2</v>
      </c>
      <c r="Q201" s="25">
        <f t="shared" si="19"/>
        <v>5.5555555555555552E-2</v>
      </c>
      <c r="R201" s="26" t="s">
        <v>852</v>
      </c>
    </row>
    <row r="202" spans="1:18" ht="25.5" customHeight="1" x14ac:dyDescent="0.35">
      <c r="A202" s="21">
        <v>198</v>
      </c>
      <c r="B202" s="22" t="s">
        <v>904</v>
      </c>
      <c r="C202" s="14" t="s">
        <v>923</v>
      </c>
      <c r="D202" s="23" t="s">
        <v>35</v>
      </c>
      <c r="E202" s="23" t="s">
        <v>37</v>
      </c>
      <c r="F202" s="23" t="s">
        <v>35</v>
      </c>
      <c r="G202" s="23" t="s">
        <v>35</v>
      </c>
      <c r="H202" s="23" t="s">
        <v>35</v>
      </c>
      <c r="I202" s="23" t="s">
        <v>33</v>
      </c>
      <c r="J202" s="23" t="s">
        <v>35</v>
      </c>
      <c r="K202" s="23" t="s">
        <v>37</v>
      </c>
      <c r="L202" s="23" t="s">
        <v>35</v>
      </c>
      <c r="M202" s="24">
        <f t="shared" si="15"/>
        <v>0</v>
      </c>
      <c r="N202" s="24">
        <f t="shared" si="16"/>
        <v>1</v>
      </c>
      <c r="O202" s="24">
        <f t="shared" si="17"/>
        <v>6</v>
      </c>
      <c r="P202" s="24">
        <f t="shared" si="18"/>
        <v>2</v>
      </c>
      <c r="Q202" s="25">
        <f t="shared" si="19"/>
        <v>5.5555555555555552E-2</v>
      </c>
      <c r="R202" s="26" t="s">
        <v>852</v>
      </c>
    </row>
    <row r="203" spans="1:18" ht="25.5" customHeight="1" x14ac:dyDescent="0.35">
      <c r="A203" s="21">
        <v>199</v>
      </c>
      <c r="B203" s="22" t="s">
        <v>904</v>
      </c>
      <c r="C203" s="14" t="s">
        <v>924</v>
      </c>
      <c r="D203" s="23" t="s">
        <v>35</v>
      </c>
      <c r="E203" s="23" t="s">
        <v>35</v>
      </c>
      <c r="F203" s="23" t="s">
        <v>35</v>
      </c>
      <c r="G203" s="23" t="s">
        <v>35</v>
      </c>
      <c r="H203" s="23" t="s">
        <v>35</v>
      </c>
      <c r="I203" s="23" t="s">
        <v>35</v>
      </c>
      <c r="J203" s="23" t="s">
        <v>35</v>
      </c>
      <c r="K203" s="23" t="s">
        <v>35</v>
      </c>
      <c r="L203" s="23" t="s">
        <v>35</v>
      </c>
      <c r="M203" s="24">
        <f t="shared" si="15"/>
        <v>0</v>
      </c>
      <c r="N203" s="24">
        <f t="shared" si="16"/>
        <v>0</v>
      </c>
      <c r="O203" s="24">
        <f t="shared" si="17"/>
        <v>9</v>
      </c>
      <c r="P203" s="24">
        <f t="shared" si="18"/>
        <v>0</v>
      </c>
      <c r="Q203" s="25">
        <f t="shared" si="19"/>
        <v>0</v>
      </c>
      <c r="R203" s="26" t="s">
        <v>925</v>
      </c>
    </row>
    <row r="204" spans="1:18" ht="25.5" customHeight="1" x14ac:dyDescent="0.35">
      <c r="A204" s="21">
        <v>200</v>
      </c>
      <c r="B204" s="22" t="s">
        <v>904</v>
      </c>
      <c r="C204" s="14" t="s">
        <v>926</v>
      </c>
      <c r="D204" s="23" t="s">
        <v>35</v>
      </c>
      <c r="E204" s="23" t="s">
        <v>31</v>
      </c>
      <c r="F204" s="23" t="s">
        <v>35</v>
      </c>
      <c r="G204" s="23" t="s">
        <v>33</v>
      </c>
      <c r="H204" s="23" t="s">
        <v>35</v>
      </c>
      <c r="I204" s="23" t="s">
        <v>31</v>
      </c>
      <c r="J204" s="23" t="s">
        <v>33</v>
      </c>
      <c r="K204" s="23" t="s">
        <v>33</v>
      </c>
      <c r="L204" s="23" t="s">
        <v>35</v>
      </c>
      <c r="M204" s="24">
        <f t="shared" si="15"/>
        <v>2</v>
      </c>
      <c r="N204" s="24">
        <f t="shared" si="16"/>
        <v>3</v>
      </c>
      <c r="O204" s="24">
        <f t="shared" si="17"/>
        <v>4</v>
      </c>
      <c r="P204" s="24">
        <f t="shared" si="18"/>
        <v>0</v>
      </c>
      <c r="Q204" s="25">
        <f t="shared" si="19"/>
        <v>0.3888888888888889</v>
      </c>
      <c r="R204" s="26" t="s">
        <v>927</v>
      </c>
    </row>
    <row r="205" spans="1:18" ht="25.5" customHeight="1" x14ac:dyDescent="0.35">
      <c r="A205" s="21">
        <v>201</v>
      </c>
      <c r="B205" s="22" t="s">
        <v>904</v>
      </c>
      <c r="C205" s="14" t="s">
        <v>928</v>
      </c>
      <c r="D205" s="23" t="s">
        <v>35</v>
      </c>
      <c r="E205" s="23" t="s">
        <v>33</v>
      </c>
      <c r="F205" s="23" t="s">
        <v>35</v>
      </c>
      <c r="G205" s="23" t="s">
        <v>35</v>
      </c>
      <c r="H205" s="23" t="s">
        <v>35</v>
      </c>
      <c r="I205" s="23" t="s">
        <v>33</v>
      </c>
      <c r="J205" s="23" t="s">
        <v>35</v>
      </c>
      <c r="K205" s="23" t="s">
        <v>33</v>
      </c>
      <c r="L205" s="23" t="s">
        <v>35</v>
      </c>
      <c r="M205" s="24">
        <f t="shared" si="15"/>
        <v>0</v>
      </c>
      <c r="N205" s="24">
        <f t="shared" si="16"/>
        <v>3</v>
      </c>
      <c r="O205" s="24">
        <f t="shared" si="17"/>
        <v>6</v>
      </c>
      <c r="P205" s="24">
        <f t="shared" si="18"/>
        <v>0</v>
      </c>
      <c r="Q205" s="25">
        <f t="shared" si="19"/>
        <v>0.16666666666666666</v>
      </c>
      <c r="R205" s="26" t="s">
        <v>929</v>
      </c>
    </row>
    <row r="206" spans="1:18" ht="25.5" customHeight="1" x14ac:dyDescent="0.35">
      <c r="A206" s="21">
        <v>202</v>
      </c>
      <c r="B206" s="22" t="s">
        <v>904</v>
      </c>
      <c r="C206" s="14" t="s">
        <v>930</v>
      </c>
      <c r="D206" s="23" t="s">
        <v>31</v>
      </c>
      <c r="E206" s="23" t="s">
        <v>31</v>
      </c>
      <c r="F206" s="23" t="s">
        <v>31</v>
      </c>
      <c r="G206" s="23" t="s">
        <v>31</v>
      </c>
      <c r="H206" s="23" t="s">
        <v>31</v>
      </c>
      <c r="I206" s="23" t="s">
        <v>31</v>
      </c>
      <c r="J206" s="23" t="s">
        <v>31</v>
      </c>
      <c r="K206" s="23" t="s">
        <v>31</v>
      </c>
      <c r="L206" s="23" t="s">
        <v>31</v>
      </c>
      <c r="M206" s="24">
        <f t="shared" si="15"/>
        <v>9</v>
      </c>
      <c r="N206" s="24">
        <f t="shared" si="16"/>
        <v>0</v>
      </c>
      <c r="O206" s="24">
        <f t="shared" si="17"/>
        <v>0</v>
      </c>
      <c r="P206" s="24">
        <f t="shared" si="18"/>
        <v>0</v>
      </c>
      <c r="Q206" s="25">
        <f t="shared" si="19"/>
        <v>1</v>
      </c>
      <c r="R206" s="26"/>
    </row>
    <row r="207" spans="1:18" ht="25.5" customHeight="1" x14ac:dyDescent="0.35">
      <c r="A207" s="21">
        <v>203</v>
      </c>
      <c r="B207" s="22" t="s">
        <v>904</v>
      </c>
      <c r="C207" s="14" t="s">
        <v>931</v>
      </c>
      <c r="D207" s="23" t="s">
        <v>31</v>
      </c>
      <c r="E207" s="23" t="s">
        <v>31</v>
      </c>
      <c r="F207" s="23" t="s">
        <v>33</v>
      </c>
      <c r="G207" s="23" t="s">
        <v>33</v>
      </c>
      <c r="H207" s="23" t="s">
        <v>31</v>
      </c>
      <c r="I207" s="23" t="s">
        <v>37</v>
      </c>
      <c r="J207" s="23" t="s">
        <v>33</v>
      </c>
      <c r="K207" s="23" t="s">
        <v>33</v>
      </c>
      <c r="L207" s="23" t="s">
        <v>35</v>
      </c>
      <c r="M207" s="24">
        <f t="shared" si="15"/>
        <v>3</v>
      </c>
      <c r="N207" s="24">
        <f t="shared" si="16"/>
        <v>4</v>
      </c>
      <c r="O207" s="24">
        <f t="shared" si="17"/>
        <v>1</v>
      </c>
      <c r="P207" s="24">
        <f t="shared" si="18"/>
        <v>1</v>
      </c>
      <c r="Q207" s="25">
        <f t="shared" si="19"/>
        <v>0.55555555555555558</v>
      </c>
      <c r="R207" s="26"/>
    </row>
    <row r="208" spans="1:18" ht="25.5" customHeight="1" x14ac:dyDescent="0.35">
      <c r="A208" s="21">
        <v>204</v>
      </c>
      <c r="B208" s="22" t="s">
        <v>904</v>
      </c>
      <c r="C208" s="14" t="s">
        <v>932</v>
      </c>
      <c r="D208" s="23" t="s">
        <v>31</v>
      </c>
      <c r="E208" s="23" t="s">
        <v>31</v>
      </c>
      <c r="F208" s="23" t="s">
        <v>31</v>
      </c>
      <c r="G208" s="23" t="s">
        <v>33</v>
      </c>
      <c r="H208" s="23" t="s">
        <v>31</v>
      </c>
      <c r="I208" s="23" t="s">
        <v>31</v>
      </c>
      <c r="J208" s="23" t="s">
        <v>31</v>
      </c>
      <c r="K208" s="23" t="s">
        <v>31</v>
      </c>
      <c r="L208" s="23" t="s">
        <v>33</v>
      </c>
      <c r="M208" s="24">
        <f t="shared" si="15"/>
        <v>7</v>
      </c>
      <c r="N208" s="24">
        <f t="shared" si="16"/>
        <v>2</v>
      </c>
      <c r="O208" s="24">
        <f t="shared" si="17"/>
        <v>0</v>
      </c>
      <c r="P208" s="24">
        <f t="shared" si="18"/>
        <v>0</v>
      </c>
      <c r="Q208" s="25">
        <f t="shared" si="19"/>
        <v>0.88888888888888884</v>
      </c>
      <c r="R208" s="26"/>
    </row>
    <row r="209" spans="1:18" ht="25.5" customHeight="1" x14ac:dyDescent="0.35">
      <c r="A209" s="21">
        <v>205</v>
      </c>
      <c r="B209" s="22" t="s">
        <v>904</v>
      </c>
      <c r="C209" s="14" t="s">
        <v>933</v>
      </c>
      <c r="D209" s="23" t="s">
        <v>35</v>
      </c>
      <c r="E209" s="23" t="s">
        <v>35</v>
      </c>
      <c r="F209" s="23" t="s">
        <v>35</v>
      </c>
      <c r="G209" s="23" t="s">
        <v>35</v>
      </c>
      <c r="H209" s="23" t="s">
        <v>35</v>
      </c>
      <c r="I209" s="23" t="s">
        <v>33</v>
      </c>
      <c r="J209" s="23" t="s">
        <v>35</v>
      </c>
      <c r="K209" s="23" t="s">
        <v>35</v>
      </c>
      <c r="L209" s="23" t="s">
        <v>35</v>
      </c>
      <c r="M209" s="24">
        <f t="shared" si="15"/>
        <v>0</v>
      </c>
      <c r="N209" s="24">
        <f t="shared" si="16"/>
        <v>1</v>
      </c>
      <c r="O209" s="24">
        <f t="shared" si="17"/>
        <v>8</v>
      </c>
      <c r="P209" s="24">
        <f t="shared" si="18"/>
        <v>0</v>
      </c>
      <c r="Q209" s="25">
        <f t="shared" si="19"/>
        <v>5.5555555555555552E-2</v>
      </c>
      <c r="R209" s="26" t="s">
        <v>934</v>
      </c>
    </row>
    <row r="210" spans="1:18" ht="25.5" customHeight="1" x14ac:dyDescent="0.35">
      <c r="A210" s="21">
        <v>206</v>
      </c>
      <c r="B210" s="22" t="s">
        <v>904</v>
      </c>
      <c r="C210" s="14" t="s">
        <v>935</v>
      </c>
      <c r="D210" s="23" t="s">
        <v>35</v>
      </c>
      <c r="E210" s="23" t="s">
        <v>35</v>
      </c>
      <c r="F210" s="23" t="s">
        <v>35</v>
      </c>
      <c r="G210" s="23" t="s">
        <v>35</v>
      </c>
      <c r="H210" s="23" t="s">
        <v>35</v>
      </c>
      <c r="I210" s="23" t="s">
        <v>35</v>
      </c>
      <c r="J210" s="23" t="s">
        <v>35</v>
      </c>
      <c r="K210" s="23" t="s">
        <v>35</v>
      </c>
      <c r="L210" s="23" t="s">
        <v>35</v>
      </c>
      <c r="M210" s="24">
        <f t="shared" si="15"/>
        <v>0</v>
      </c>
      <c r="N210" s="24">
        <f t="shared" si="16"/>
        <v>0</v>
      </c>
      <c r="O210" s="24">
        <f t="shared" si="17"/>
        <v>9</v>
      </c>
      <c r="P210" s="24">
        <f t="shared" si="18"/>
        <v>0</v>
      </c>
      <c r="Q210" s="25">
        <f t="shared" si="19"/>
        <v>0</v>
      </c>
      <c r="R210" s="26" t="s">
        <v>936</v>
      </c>
    </row>
    <row r="211" spans="1:18" ht="25.5" customHeight="1" x14ac:dyDescent="0.35">
      <c r="A211" s="21">
        <v>207</v>
      </c>
      <c r="B211" s="22" t="s">
        <v>937</v>
      </c>
      <c r="C211" s="14" t="s">
        <v>938</v>
      </c>
      <c r="D211" s="23" t="s">
        <v>31</v>
      </c>
      <c r="E211" s="23" t="s">
        <v>31</v>
      </c>
      <c r="F211" s="23" t="s">
        <v>31</v>
      </c>
      <c r="G211" s="23" t="s">
        <v>31</v>
      </c>
      <c r="H211" s="23" t="s">
        <v>31</v>
      </c>
      <c r="I211" s="23" t="s">
        <v>31</v>
      </c>
      <c r="J211" s="23" t="s">
        <v>31</v>
      </c>
      <c r="K211" s="23" t="s">
        <v>31</v>
      </c>
      <c r="L211" s="23" t="s">
        <v>31</v>
      </c>
      <c r="M211" s="24">
        <f t="shared" si="15"/>
        <v>9</v>
      </c>
      <c r="N211" s="24">
        <f t="shared" si="16"/>
        <v>0</v>
      </c>
      <c r="O211" s="24">
        <f t="shared" si="17"/>
        <v>0</v>
      </c>
      <c r="P211" s="24">
        <f t="shared" si="18"/>
        <v>0</v>
      </c>
      <c r="Q211" s="25">
        <f t="shared" si="19"/>
        <v>1</v>
      </c>
      <c r="R211" s="26" t="s">
        <v>939</v>
      </c>
    </row>
    <row r="212" spans="1:18" ht="25.5" customHeight="1" x14ac:dyDescent="0.35">
      <c r="A212" s="21">
        <v>208</v>
      </c>
      <c r="B212" s="22" t="s">
        <v>937</v>
      </c>
      <c r="C212" s="14" t="s">
        <v>940</v>
      </c>
      <c r="D212" s="23" t="s">
        <v>31</v>
      </c>
      <c r="E212" s="23" t="s">
        <v>31</v>
      </c>
      <c r="F212" s="23" t="s">
        <v>33</v>
      </c>
      <c r="G212" s="23" t="s">
        <v>31</v>
      </c>
      <c r="H212" s="23" t="s">
        <v>33</v>
      </c>
      <c r="I212" s="23" t="s">
        <v>31</v>
      </c>
      <c r="J212" s="23" t="s">
        <v>31</v>
      </c>
      <c r="K212" s="23" t="s">
        <v>31</v>
      </c>
      <c r="L212" s="23" t="s">
        <v>31</v>
      </c>
      <c r="M212" s="24">
        <f t="shared" si="15"/>
        <v>7</v>
      </c>
      <c r="N212" s="24">
        <f t="shared" si="16"/>
        <v>2</v>
      </c>
      <c r="O212" s="24">
        <f t="shared" si="17"/>
        <v>0</v>
      </c>
      <c r="P212" s="24">
        <f t="shared" si="18"/>
        <v>0</v>
      </c>
      <c r="Q212" s="25">
        <f t="shared" si="19"/>
        <v>0.88888888888888884</v>
      </c>
      <c r="R212" s="26" t="s">
        <v>941</v>
      </c>
    </row>
    <row r="213" spans="1:18" ht="25.5" customHeight="1" x14ac:dyDescent="0.35">
      <c r="A213" s="21">
        <v>209</v>
      </c>
      <c r="B213" s="22" t="s">
        <v>937</v>
      </c>
      <c r="C213" s="14" t="s">
        <v>942</v>
      </c>
      <c r="D213" s="23" t="s">
        <v>31</v>
      </c>
      <c r="E213" s="23" t="s">
        <v>31</v>
      </c>
      <c r="F213" s="23" t="s">
        <v>31</v>
      </c>
      <c r="G213" s="23" t="s">
        <v>31</v>
      </c>
      <c r="H213" s="23" t="s">
        <v>31</v>
      </c>
      <c r="I213" s="23" t="s">
        <v>31</v>
      </c>
      <c r="J213" s="23" t="s">
        <v>31</v>
      </c>
      <c r="K213" s="23" t="s">
        <v>31</v>
      </c>
      <c r="L213" s="23" t="s">
        <v>31</v>
      </c>
      <c r="M213" s="24">
        <f t="shared" si="15"/>
        <v>9</v>
      </c>
      <c r="N213" s="24">
        <f t="shared" si="16"/>
        <v>0</v>
      </c>
      <c r="O213" s="24">
        <f t="shared" si="17"/>
        <v>0</v>
      </c>
      <c r="P213" s="24">
        <f t="shared" si="18"/>
        <v>0</v>
      </c>
      <c r="Q213" s="25">
        <f t="shared" si="19"/>
        <v>1</v>
      </c>
      <c r="R213" s="26" t="s">
        <v>943</v>
      </c>
    </row>
    <row r="214" spans="1:18" ht="25.5" customHeight="1" x14ac:dyDescent="0.35">
      <c r="A214" s="21">
        <v>210</v>
      </c>
      <c r="B214" s="22" t="s">
        <v>937</v>
      </c>
      <c r="C214" s="14" t="s">
        <v>944</v>
      </c>
      <c r="D214" s="23" t="s">
        <v>33</v>
      </c>
      <c r="E214" s="23" t="s">
        <v>33</v>
      </c>
      <c r="F214" s="23" t="s">
        <v>35</v>
      </c>
      <c r="G214" s="23" t="s">
        <v>33</v>
      </c>
      <c r="H214" s="23" t="s">
        <v>35</v>
      </c>
      <c r="I214" s="23" t="s">
        <v>31</v>
      </c>
      <c r="J214" s="23" t="s">
        <v>31</v>
      </c>
      <c r="K214" s="23" t="s">
        <v>33</v>
      </c>
      <c r="L214" s="23" t="s">
        <v>33</v>
      </c>
      <c r="M214" s="24">
        <f t="shared" si="15"/>
        <v>2</v>
      </c>
      <c r="N214" s="24">
        <f t="shared" si="16"/>
        <v>5</v>
      </c>
      <c r="O214" s="24">
        <f t="shared" si="17"/>
        <v>2</v>
      </c>
      <c r="P214" s="24">
        <f t="shared" si="18"/>
        <v>0</v>
      </c>
      <c r="Q214" s="25">
        <f t="shared" si="19"/>
        <v>0.5</v>
      </c>
      <c r="R214" s="26" t="s">
        <v>945</v>
      </c>
    </row>
    <row r="215" spans="1:18" ht="25.5" customHeight="1" x14ac:dyDescent="0.35">
      <c r="A215" s="21">
        <v>211</v>
      </c>
      <c r="B215" s="22" t="s">
        <v>937</v>
      </c>
      <c r="C215" s="14" t="s">
        <v>946</v>
      </c>
      <c r="D215" s="23" t="s">
        <v>31</v>
      </c>
      <c r="E215" s="23" t="s">
        <v>31</v>
      </c>
      <c r="F215" s="23" t="s">
        <v>31</v>
      </c>
      <c r="G215" s="23" t="s">
        <v>31</v>
      </c>
      <c r="H215" s="23" t="s">
        <v>31</v>
      </c>
      <c r="I215" s="23" t="s">
        <v>31</v>
      </c>
      <c r="J215" s="23" t="s">
        <v>31</v>
      </c>
      <c r="K215" s="23" t="s">
        <v>31</v>
      </c>
      <c r="L215" s="23" t="s">
        <v>31</v>
      </c>
      <c r="M215" s="24">
        <f t="shared" si="15"/>
        <v>9</v>
      </c>
      <c r="N215" s="24">
        <f t="shared" si="16"/>
        <v>0</v>
      </c>
      <c r="O215" s="24">
        <f t="shared" si="17"/>
        <v>0</v>
      </c>
      <c r="P215" s="24">
        <f t="shared" si="18"/>
        <v>0</v>
      </c>
      <c r="Q215" s="25">
        <f t="shared" si="19"/>
        <v>1</v>
      </c>
      <c r="R215" s="26"/>
    </row>
    <row r="216" spans="1:18" ht="25.5" customHeight="1" x14ac:dyDescent="0.35">
      <c r="A216" s="21">
        <v>212</v>
      </c>
      <c r="B216" s="22" t="s">
        <v>937</v>
      </c>
      <c r="C216" s="14" t="s">
        <v>947</v>
      </c>
      <c r="D216" s="23" t="s">
        <v>31</v>
      </c>
      <c r="E216" s="23" t="s">
        <v>31</v>
      </c>
      <c r="F216" s="23" t="s">
        <v>832</v>
      </c>
      <c r="G216" s="23" t="s">
        <v>33</v>
      </c>
      <c r="H216" s="23" t="s">
        <v>31</v>
      </c>
      <c r="I216" s="23" t="s">
        <v>37</v>
      </c>
      <c r="J216" s="23" t="s">
        <v>31</v>
      </c>
      <c r="K216" s="23" t="s">
        <v>33</v>
      </c>
      <c r="L216" s="23" t="s">
        <v>33</v>
      </c>
      <c r="M216" s="24">
        <f t="shared" si="15"/>
        <v>5</v>
      </c>
      <c r="N216" s="24">
        <f t="shared" si="16"/>
        <v>3</v>
      </c>
      <c r="O216" s="24">
        <f t="shared" si="17"/>
        <v>0</v>
      </c>
      <c r="P216" s="24">
        <f t="shared" si="18"/>
        <v>1</v>
      </c>
      <c r="Q216" s="25">
        <f t="shared" si="19"/>
        <v>0.72222222222222221</v>
      </c>
      <c r="R216" s="26" t="s">
        <v>948</v>
      </c>
    </row>
    <row r="217" spans="1:18" ht="25.5" customHeight="1" x14ac:dyDescent="0.35">
      <c r="A217" s="21">
        <v>213</v>
      </c>
      <c r="B217" s="22" t="s">
        <v>937</v>
      </c>
      <c r="C217" s="14" t="s">
        <v>949</v>
      </c>
      <c r="D217" s="23" t="s">
        <v>35</v>
      </c>
      <c r="E217" s="23" t="s">
        <v>37</v>
      </c>
      <c r="F217" s="23" t="s">
        <v>37</v>
      </c>
      <c r="G217" s="23" t="s">
        <v>37</v>
      </c>
      <c r="H217" s="23" t="s">
        <v>37</v>
      </c>
      <c r="I217" s="23" t="s">
        <v>37</v>
      </c>
      <c r="J217" s="23" t="s">
        <v>37</v>
      </c>
      <c r="K217" s="23" t="s">
        <v>37</v>
      </c>
      <c r="L217" s="23" t="s">
        <v>37</v>
      </c>
      <c r="M217" s="24">
        <f t="shared" si="15"/>
        <v>0</v>
      </c>
      <c r="N217" s="24">
        <f t="shared" si="16"/>
        <v>0</v>
      </c>
      <c r="O217" s="24">
        <f t="shared" si="17"/>
        <v>1</v>
      </c>
      <c r="P217" s="24">
        <f t="shared" si="18"/>
        <v>8</v>
      </c>
      <c r="Q217" s="25">
        <f t="shared" si="19"/>
        <v>0</v>
      </c>
      <c r="R217" s="26" t="s">
        <v>950</v>
      </c>
    </row>
    <row r="218" spans="1:18" ht="25.5" customHeight="1" x14ac:dyDescent="0.35">
      <c r="A218" s="21">
        <v>214</v>
      </c>
      <c r="B218" s="22" t="s">
        <v>937</v>
      </c>
      <c r="C218" s="14" t="s">
        <v>951</v>
      </c>
      <c r="D218" s="23" t="s">
        <v>31</v>
      </c>
      <c r="E218" s="23" t="s">
        <v>31</v>
      </c>
      <c r="F218" s="23" t="s">
        <v>31</v>
      </c>
      <c r="G218" s="23" t="s">
        <v>31</v>
      </c>
      <c r="H218" s="23" t="s">
        <v>31</v>
      </c>
      <c r="I218" s="23" t="s">
        <v>31</v>
      </c>
      <c r="J218" s="23" t="s">
        <v>31</v>
      </c>
      <c r="K218" s="23" t="s">
        <v>31</v>
      </c>
      <c r="L218" s="23" t="s">
        <v>31</v>
      </c>
      <c r="M218" s="24">
        <f t="shared" si="15"/>
        <v>9</v>
      </c>
      <c r="N218" s="24">
        <f t="shared" si="16"/>
        <v>0</v>
      </c>
      <c r="O218" s="24">
        <f t="shared" si="17"/>
        <v>0</v>
      </c>
      <c r="P218" s="24">
        <f t="shared" si="18"/>
        <v>0</v>
      </c>
      <c r="Q218" s="25">
        <f t="shared" si="19"/>
        <v>1</v>
      </c>
      <c r="R218" s="26"/>
    </row>
    <row r="219" spans="1:18" ht="25.5" customHeight="1" x14ac:dyDescent="0.35">
      <c r="A219" s="21">
        <v>215</v>
      </c>
      <c r="B219" s="22" t="s">
        <v>937</v>
      </c>
      <c r="C219" s="14" t="s">
        <v>952</v>
      </c>
      <c r="D219" s="23" t="s">
        <v>33</v>
      </c>
      <c r="E219" s="23" t="s">
        <v>31</v>
      </c>
      <c r="F219" s="23" t="s">
        <v>33</v>
      </c>
      <c r="G219" s="23" t="s">
        <v>31</v>
      </c>
      <c r="H219" s="23" t="s">
        <v>33</v>
      </c>
      <c r="I219" s="23" t="s">
        <v>31</v>
      </c>
      <c r="J219" s="23" t="s">
        <v>31</v>
      </c>
      <c r="K219" s="23" t="s">
        <v>33</v>
      </c>
      <c r="L219" s="23" t="s">
        <v>33</v>
      </c>
      <c r="M219" s="24">
        <f t="shared" si="15"/>
        <v>4</v>
      </c>
      <c r="N219" s="24">
        <f t="shared" si="16"/>
        <v>5</v>
      </c>
      <c r="O219" s="24">
        <f t="shared" si="17"/>
        <v>0</v>
      </c>
      <c r="P219" s="24">
        <f t="shared" si="18"/>
        <v>0</v>
      </c>
      <c r="Q219" s="25">
        <f t="shared" si="19"/>
        <v>0.72222222222222221</v>
      </c>
      <c r="R219" s="26"/>
    </row>
    <row r="220" spans="1:18" ht="25.5" customHeight="1" x14ac:dyDescent="0.35">
      <c r="A220" s="21">
        <v>216</v>
      </c>
      <c r="B220" s="22" t="s">
        <v>937</v>
      </c>
      <c r="C220" s="14" t="s">
        <v>953</v>
      </c>
      <c r="D220" s="23" t="s">
        <v>31</v>
      </c>
      <c r="E220" s="23" t="s">
        <v>31</v>
      </c>
      <c r="F220" s="23" t="s">
        <v>31</v>
      </c>
      <c r="G220" s="23" t="s">
        <v>31</v>
      </c>
      <c r="H220" s="23" t="s">
        <v>31</v>
      </c>
      <c r="I220" s="23" t="s">
        <v>31</v>
      </c>
      <c r="J220" s="23" t="s">
        <v>31</v>
      </c>
      <c r="K220" s="23" t="s">
        <v>31</v>
      </c>
      <c r="L220" s="23" t="s">
        <v>31</v>
      </c>
      <c r="M220" s="24">
        <f t="shared" si="15"/>
        <v>9</v>
      </c>
      <c r="N220" s="24">
        <f t="shared" si="16"/>
        <v>0</v>
      </c>
      <c r="O220" s="24">
        <f t="shared" si="17"/>
        <v>0</v>
      </c>
      <c r="P220" s="24">
        <f t="shared" si="18"/>
        <v>0</v>
      </c>
      <c r="Q220" s="25">
        <f t="shared" si="19"/>
        <v>1</v>
      </c>
      <c r="R220" s="26"/>
    </row>
    <row r="221" spans="1:18" ht="25.5" customHeight="1" x14ac:dyDescent="0.35">
      <c r="A221" s="21">
        <v>217</v>
      </c>
      <c r="B221" s="22" t="s">
        <v>937</v>
      </c>
      <c r="C221" s="14" t="s">
        <v>954</v>
      </c>
      <c r="D221" s="23" t="s">
        <v>37</v>
      </c>
      <c r="E221" s="23" t="s">
        <v>37</v>
      </c>
      <c r="F221" s="23" t="s">
        <v>35</v>
      </c>
      <c r="G221" s="23" t="s">
        <v>35</v>
      </c>
      <c r="H221" s="23" t="s">
        <v>35</v>
      </c>
      <c r="I221" s="23" t="s">
        <v>37</v>
      </c>
      <c r="J221" s="23" t="s">
        <v>37</v>
      </c>
      <c r="K221" s="23" t="s">
        <v>35</v>
      </c>
      <c r="L221" s="23" t="s">
        <v>35</v>
      </c>
      <c r="M221" s="24">
        <f t="shared" si="15"/>
        <v>0</v>
      </c>
      <c r="N221" s="24">
        <f t="shared" si="16"/>
        <v>0</v>
      </c>
      <c r="O221" s="24">
        <f t="shared" si="17"/>
        <v>5</v>
      </c>
      <c r="P221" s="24">
        <f t="shared" si="18"/>
        <v>4</v>
      </c>
      <c r="Q221" s="25">
        <f t="shared" si="19"/>
        <v>0</v>
      </c>
      <c r="R221" s="26" t="s">
        <v>955</v>
      </c>
    </row>
    <row r="222" spans="1:18" ht="25.5" customHeight="1" x14ac:dyDescent="0.35">
      <c r="A222" s="21">
        <v>218</v>
      </c>
      <c r="B222" s="22" t="s">
        <v>937</v>
      </c>
      <c r="C222" s="14" t="s">
        <v>956</v>
      </c>
      <c r="D222" s="23" t="s">
        <v>31</v>
      </c>
      <c r="E222" s="23" t="s">
        <v>31</v>
      </c>
      <c r="F222" s="23" t="s">
        <v>31</v>
      </c>
      <c r="G222" s="23" t="s">
        <v>31</v>
      </c>
      <c r="H222" s="23" t="s">
        <v>31</v>
      </c>
      <c r="I222" s="23" t="s">
        <v>31</v>
      </c>
      <c r="J222" s="23" t="s">
        <v>31</v>
      </c>
      <c r="K222" s="23" t="s">
        <v>31</v>
      </c>
      <c r="L222" s="23" t="s">
        <v>33</v>
      </c>
      <c r="M222" s="24">
        <f t="shared" si="15"/>
        <v>8</v>
      </c>
      <c r="N222" s="24">
        <f t="shared" si="16"/>
        <v>1</v>
      </c>
      <c r="O222" s="24">
        <f t="shared" si="17"/>
        <v>0</v>
      </c>
      <c r="P222" s="24">
        <f t="shared" si="18"/>
        <v>0</v>
      </c>
      <c r="Q222" s="25">
        <f t="shared" si="19"/>
        <v>0.94444444444444442</v>
      </c>
      <c r="R222" s="26"/>
    </row>
    <row r="223" spans="1:18" ht="25.5" customHeight="1" x14ac:dyDescent="0.35">
      <c r="A223" s="21">
        <v>219</v>
      </c>
      <c r="B223" s="22" t="s">
        <v>937</v>
      </c>
      <c r="C223" s="14" t="s">
        <v>957</v>
      </c>
      <c r="D223" s="23" t="s">
        <v>31</v>
      </c>
      <c r="E223" s="23" t="s">
        <v>31</v>
      </c>
      <c r="F223" s="23" t="s">
        <v>33</v>
      </c>
      <c r="G223" s="23" t="s">
        <v>31</v>
      </c>
      <c r="H223" s="23" t="s">
        <v>33</v>
      </c>
      <c r="I223" s="23" t="s">
        <v>31</v>
      </c>
      <c r="J223" s="23" t="s">
        <v>31</v>
      </c>
      <c r="K223" s="23" t="s">
        <v>31</v>
      </c>
      <c r="L223" s="23" t="s">
        <v>35</v>
      </c>
      <c r="M223" s="24">
        <f t="shared" si="15"/>
        <v>6</v>
      </c>
      <c r="N223" s="24">
        <f t="shared" si="16"/>
        <v>2</v>
      </c>
      <c r="O223" s="24">
        <f t="shared" si="17"/>
        <v>1</v>
      </c>
      <c r="P223" s="24">
        <f t="shared" si="18"/>
        <v>0</v>
      </c>
      <c r="Q223" s="25">
        <f t="shared" si="19"/>
        <v>0.77777777777777779</v>
      </c>
      <c r="R223" s="26" t="s">
        <v>958</v>
      </c>
    </row>
    <row r="224" spans="1:18" ht="25.5" customHeight="1" x14ac:dyDescent="0.35">
      <c r="A224" s="21">
        <v>220</v>
      </c>
      <c r="B224" s="22" t="s">
        <v>937</v>
      </c>
      <c r="C224" s="14" t="s">
        <v>959</v>
      </c>
      <c r="D224" s="23" t="s">
        <v>31</v>
      </c>
      <c r="E224" s="23" t="s">
        <v>31</v>
      </c>
      <c r="F224" s="23" t="s">
        <v>31</v>
      </c>
      <c r="G224" s="23" t="s">
        <v>31</v>
      </c>
      <c r="H224" s="23" t="s">
        <v>31</v>
      </c>
      <c r="I224" s="23" t="s">
        <v>37</v>
      </c>
      <c r="J224" s="23" t="s">
        <v>31</v>
      </c>
      <c r="K224" s="23" t="s">
        <v>31</v>
      </c>
      <c r="L224" s="23" t="s">
        <v>35</v>
      </c>
      <c r="M224" s="24">
        <f t="shared" si="15"/>
        <v>7</v>
      </c>
      <c r="N224" s="24">
        <f t="shared" si="16"/>
        <v>0</v>
      </c>
      <c r="O224" s="24">
        <f t="shared" si="17"/>
        <v>1</v>
      </c>
      <c r="P224" s="24">
        <f t="shared" si="18"/>
        <v>1</v>
      </c>
      <c r="Q224" s="25">
        <f t="shared" si="19"/>
        <v>0.77777777777777779</v>
      </c>
      <c r="R224" s="26"/>
    </row>
    <row r="225" spans="1:18" ht="25.5" customHeight="1" x14ac:dyDescent="0.35">
      <c r="A225" s="21">
        <v>221</v>
      </c>
      <c r="B225" s="22" t="s">
        <v>937</v>
      </c>
      <c r="C225" s="14" t="s">
        <v>960</v>
      </c>
      <c r="D225" s="23" t="s">
        <v>33</v>
      </c>
      <c r="E225" s="23" t="s">
        <v>33</v>
      </c>
      <c r="F225" s="23" t="s">
        <v>33</v>
      </c>
      <c r="G225" s="23" t="s">
        <v>31</v>
      </c>
      <c r="H225" s="23" t="s">
        <v>33</v>
      </c>
      <c r="I225" s="23" t="s">
        <v>31</v>
      </c>
      <c r="J225" s="23" t="s">
        <v>33</v>
      </c>
      <c r="K225" s="23" t="s">
        <v>31</v>
      </c>
      <c r="L225" s="23" t="s">
        <v>35</v>
      </c>
      <c r="M225" s="24">
        <f t="shared" si="15"/>
        <v>3</v>
      </c>
      <c r="N225" s="24">
        <f t="shared" si="16"/>
        <v>5</v>
      </c>
      <c r="O225" s="24">
        <f t="shared" si="17"/>
        <v>1</v>
      </c>
      <c r="P225" s="24">
        <f t="shared" si="18"/>
        <v>0</v>
      </c>
      <c r="Q225" s="25">
        <f t="shared" si="19"/>
        <v>0.61111111111111116</v>
      </c>
      <c r="R225" s="26" t="s">
        <v>961</v>
      </c>
    </row>
    <row r="226" spans="1:18" ht="25.5" customHeight="1" x14ac:dyDescent="0.35">
      <c r="A226" s="21">
        <v>222</v>
      </c>
      <c r="B226" s="22" t="s">
        <v>937</v>
      </c>
      <c r="C226" s="14" t="s">
        <v>962</v>
      </c>
      <c r="D226" s="23" t="s">
        <v>35</v>
      </c>
      <c r="E226" s="23" t="s">
        <v>35</v>
      </c>
      <c r="F226" s="23" t="s">
        <v>35</v>
      </c>
      <c r="G226" s="23" t="s">
        <v>35</v>
      </c>
      <c r="H226" s="23" t="s">
        <v>35</v>
      </c>
      <c r="I226" s="23" t="s">
        <v>35</v>
      </c>
      <c r="J226" s="23" t="s">
        <v>35</v>
      </c>
      <c r="K226" s="23" t="s">
        <v>35</v>
      </c>
      <c r="L226" s="23" t="s">
        <v>35</v>
      </c>
      <c r="M226" s="24">
        <f t="shared" si="15"/>
        <v>0</v>
      </c>
      <c r="N226" s="24">
        <f t="shared" si="16"/>
        <v>0</v>
      </c>
      <c r="O226" s="24">
        <f t="shared" si="17"/>
        <v>9</v>
      </c>
      <c r="P226" s="24">
        <f t="shared" si="18"/>
        <v>0</v>
      </c>
      <c r="Q226" s="25">
        <f t="shared" si="19"/>
        <v>0</v>
      </c>
      <c r="R226" s="26" t="s">
        <v>798</v>
      </c>
    </row>
    <row r="227" spans="1:18" ht="25.5" customHeight="1" x14ac:dyDescent="0.35">
      <c r="A227" s="21">
        <v>223</v>
      </c>
      <c r="B227" s="22" t="s">
        <v>937</v>
      </c>
      <c r="C227" s="14" t="s">
        <v>963</v>
      </c>
      <c r="D227" s="23" t="s">
        <v>35</v>
      </c>
      <c r="E227" s="23" t="s">
        <v>35</v>
      </c>
      <c r="F227" s="23" t="s">
        <v>35</v>
      </c>
      <c r="G227" s="23" t="s">
        <v>33</v>
      </c>
      <c r="H227" s="23" t="s">
        <v>35</v>
      </c>
      <c r="I227" s="23" t="s">
        <v>33</v>
      </c>
      <c r="J227" s="23" t="s">
        <v>33</v>
      </c>
      <c r="K227" s="23" t="s">
        <v>35</v>
      </c>
      <c r="L227" s="23" t="s">
        <v>35</v>
      </c>
      <c r="M227" s="24">
        <f t="shared" si="15"/>
        <v>0</v>
      </c>
      <c r="N227" s="24">
        <f t="shared" si="16"/>
        <v>3</v>
      </c>
      <c r="O227" s="24">
        <f t="shared" si="17"/>
        <v>6</v>
      </c>
      <c r="P227" s="24">
        <f t="shared" si="18"/>
        <v>0</v>
      </c>
      <c r="Q227" s="25">
        <f t="shared" si="19"/>
        <v>0.16666666666666666</v>
      </c>
      <c r="R227" s="26" t="s">
        <v>852</v>
      </c>
    </row>
    <row r="228" spans="1:18" ht="25.5" customHeight="1" x14ac:dyDescent="0.35">
      <c r="A228" s="21">
        <v>224</v>
      </c>
      <c r="B228" s="22" t="s">
        <v>937</v>
      </c>
      <c r="C228" s="14" t="s">
        <v>964</v>
      </c>
      <c r="D228" s="23" t="s">
        <v>31</v>
      </c>
      <c r="E228" s="23" t="s">
        <v>33</v>
      </c>
      <c r="F228" s="23" t="s">
        <v>31</v>
      </c>
      <c r="G228" s="23" t="s">
        <v>31</v>
      </c>
      <c r="H228" s="23" t="s">
        <v>31</v>
      </c>
      <c r="I228" s="23" t="s">
        <v>33</v>
      </c>
      <c r="J228" s="23" t="s">
        <v>33</v>
      </c>
      <c r="K228" s="23" t="s">
        <v>31</v>
      </c>
      <c r="L228" s="23" t="s">
        <v>33</v>
      </c>
      <c r="M228" s="24">
        <f t="shared" si="15"/>
        <v>5</v>
      </c>
      <c r="N228" s="24">
        <f t="shared" si="16"/>
        <v>4</v>
      </c>
      <c r="O228" s="24">
        <f t="shared" si="17"/>
        <v>0</v>
      </c>
      <c r="P228" s="24">
        <f t="shared" si="18"/>
        <v>0</v>
      </c>
      <c r="Q228" s="25">
        <f t="shared" si="19"/>
        <v>0.77777777777777779</v>
      </c>
      <c r="R228" s="26" t="s">
        <v>965</v>
      </c>
    </row>
    <row r="229" spans="1:18" ht="25.5" customHeight="1" x14ac:dyDescent="0.35">
      <c r="A229" s="21">
        <v>225</v>
      </c>
      <c r="B229" s="22" t="s">
        <v>937</v>
      </c>
      <c r="C229" s="14" t="s">
        <v>966</v>
      </c>
      <c r="D229" s="23" t="s">
        <v>35</v>
      </c>
      <c r="E229" s="23" t="s">
        <v>35</v>
      </c>
      <c r="F229" s="23" t="s">
        <v>35</v>
      </c>
      <c r="G229" s="23" t="s">
        <v>31</v>
      </c>
      <c r="H229" s="23" t="s">
        <v>35</v>
      </c>
      <c r="I229" s="23" t="s">
        <v>35</v>
      </c>
      <c r="J229" s="23" t="s">
        <v>35</v>
      </c>
      <c r="K229" s="23" t="s">
        <v>35</v>
      </c>
      <c r="L229" s="23" t="s">
        <v>35</v>
      </c>
      <c r="M229" s="24">
        <f t="shared" si="15"/>
        <v>1</v>
      </c>
      <c r="N229" s="24">
        <f t="shared" si="16"/>
        <v>0</v>
      </c>
      <c r="O229" s="24">
        <f t="shared" si="17"/>
        <v>8</v>
      </c>
      <c r="P229" s="24">
        <f t="shared" si="18"/>
        <v>0</v>
      </c>
      <c r="Q229" s="25">
        <f t="shared" si="19"/>
        <v>0.1111111111111111</v>
      </c>
      <c r="R229" s="26" t="s">
        <v>967</v>
      </c>
    </row>
    <row r="230" spans="1:18" ht="25.5" customHeight="1" x14ac:dyDescent="0.35">
      <c r="A230" s="21">
        <v>226</v>
      </c>
      <c r="B230" s="22" t="s">
        <v>937</v>
      </c>
      <c r="C230" s="14" t="s">
        <v>968</v>
      </c>
      <c r="D230" s="23" t="s">
        <v>35</v>
      </c>
      <c r="E230" s="23" t="s">
        <v>33</v>
      </c>
      <c r="F230" s="23" t="s">
        <v>33</v>
      </c>
      <c r="G230" s="23" t="s">
        <v>33</v>
      </c>
      <c r="H230" s="23" t="s">
        <v>33</v>
      </c>
      <c r="I230" s="23" t="s">
        <v>35</v>
      </c>
      <c r="J230" s="23" t="s">
        <v>35</v>
      </c>
      <c r="K230" s="23" t="s">
        <v>33</v>
      </c>
      <c r="L230" s="23" t="s">
        <v>35</v>
      </c>
      <c r="M230" s="24">
        <f t="shared" si="15"/>
        <v>0</v>
      </c>
      <c r="N230" s="24">
        <f t="shared" si="16"/>
        <v>5</v>
      </c>
      <c r="O230" s="24">
        <f t="shared" si="17"/>
        <v>4</v>
      </c>
      <c r="P230" s="24">
        <f t="shared" si="18"/>
        <v>0</v>
      </c>
      <c r="Q230" s="25">
        <f t="shared" si="19"/>
        <v>0.27777777777777779</v>
      </c>
      <c r="R230" s="26" t="s">
        <v>969</v>
      </c>
    </row>
    <row r="231" spans="1:18" ht="25.5" customHeight="1" x14ac:dyDescent="0.35">
      <c r="A231" s="21">
        <v>227</v>
      </c>
      <c r="B231" s="22" t="s">
        <v>937</v>
      </c>
      <c r="C231" s="14" t="s">
        <v>970</v>
      </c>
      <c r="D231" s="23" t="s">
        <v>33</v>
      </c>
      <c r="E231" s="23" t="s">
        <v>31</v>
      </c>
      <c r="F231" s="23" t="s">
        <v>33</v>
      </c>
      <c r="G231" s="23" t="s">
        <v>31</v>
      </c>
      <c r="H231" s="23" t="s">
        <v>35</v>
      </c>
      <c r="I231" s="23" t="s">
        <v>31</v>
      </c>
      <c r="J231" s="23" t="s">
        <v>31</v>
      </c>
      <c r="K231" s="23" t="s">
        <v>33</v>
      </c>
      <c r="L231" s="23" t="s">
        <v>33</v>
      </c>
      <c r="M231" s="24">
        <f t="shared" si="15"/>
        <v>4</v>
      </c>
      <c r="N231" s="24">
        <f t="shared" si="16"/>
        <v>4</v>
      </c>
      <c r="O231" s="24">
        <f t="shared" si="17"/>
        <v>1</v>
      </c>
      <c r="P231" s="24">
        <f t="shared" si="18"/>
        <v>0</v>
      </c>
      <c r="Q231" s="25">
        <f t="shared" si="19"/>
        <v>0.66666666666666663</v>
      </c>
      <c r="R231" s="26" t="s">
        <v>971</v>
      </c>
    </row>
    <row r="232" spans="1:18" ht="25.5" customHeight="1" x14ac:dyDescent="0.35">
      <c r="A232" s="21">
        <v>228</v>
      </c>
      <c r="B232" s="22" t="s">
        <v>972</v>
      </c>
      <c r="C232" s="14" t="s">
        <v>973</v>
      </c>
      <c r="D232" s="23" t="s">
        <v>31</v>
      </c>
      <c r="E232" s="23" t="s">
        <v>31</v>
      </c>
      <c r="F232" s="23" t="s">
        <v>33</v>
      </c>
      <c r="G232" s="23" t="s">
        <v>33</v>
      </c>
      <c r="H232" s="23" t="s">
        <v>35</v>
      </c>
      <c r="I232" s="23" t="s">
        <v>31</v>
      </c>
      <c r="J232" s="23" t="s">
        <v>31</v>
      </c>
      <c r="K232" s="23" t="s">
        <v>31</v>
      </c>
      <c r="L232" s="23" t="s">
        <v>33</v>
      </c>
      <c r="M232" s="24">
        <f t="shared" si="15"/>
        <v>5</v>
      </c>
      <c r="N232" s="24">
        <f t="shared" si="16"/>
        <v>3</v>
      </c>
      <c r="O232" s="24">
        <f t="shared" si="17"/>
        <v>1</v>
      </c>
      <c r="P232" s="24">
        <f t="shared" si="18"/>
        <v>0</v>
      </c>
      <c r="Q232" s="25">
        <f t="shared" si="19"/>
        <v>0.72222222222222221</v>
      </c>
      <c r="R232" s="26" t="s">
        <v>974</v>
      </c>
    </row>
    <row r="233" spans="1:18" ht="25.5" customHeight="1" x14ac:dyDescent="0.35">
      <c r="A233" s="21">
        <v>229</v>
      </c>
      <c r="B233" s="22" t="s">
        <v>972</v>
      </c>
      <c r="C233" s="14" t="s">
        <v>975</v>
      </c>
      <c r="D233" s="23" t="s">
        <v>33</v>
      </c>
      <c r="E233" s="23" t="s">
        <v>33</v>
      </c>
      <c r="F233" s="23" t="s">
        <v>33</v>
      </c>
      <c r="G233" s="23" t="s">
        <v>31</v>
      </c>
      <c r="H233" s="23" t="s">
        <v>33</v>
      </c>
      <c r="I233" s="23" t="s">
        <v>31</v>
      </c>
      <c r="J233" s="23" t="s">
        <v>31</v>
      </c>
      <c r="K233" s="23" t="s">
        <v>31</v>
      </c>
      <c r="L233" s="23" t="s">
        <v>35</v>
      </c>
      <c r="M233" s="24">
        <f t="shared" si="15"/>
        <v>4</v>
      </c>
      <c r="N233" s="24">
        <f t="shared" si="16"/>
        <v>4</v>
      </c>
      <c r="O233" s="24">
        <f t="shared" si="17"/>
        <v>1</v>
      </c>
      <c r="P233" s="24">
        <f t="shared" si="18"/>
        <v>0</v>
      </c>
      <c r="Q233" s="25">
        <f t="shared" si="19"/>
        <v>0.66666666666666663</v>
      </c>
      <c r="R233" s="26" t="s">
        <v>976</v>
      </c>
    </row>
    <row r="234" spans="1:18" ht="25.5" customHeight="1" x14ac:dyDescent="0.35">
      <c r="A234" s="21">
        <v>230</v>
      </c>
      <c r="B234" s="22" t="s">
        <v>972</v>
      </c>
      <c r="C234" s="14" t="s">
        <v>977</v>
      </c>
      <c r="D234" s="23" t="s">
        <v>33</v>
      </c>
      <c r="E234" s="23" t="s">
        <v>31</v>
      </c>
      <c r="F234" s="23" t="s">
        <v>35</v>
      </c>
      <c r="G234" s="23" t="s">
        <v>33</v>
      </c>
      <c r="H234" s="23" t="s">
        <v>35</v>
      </c>
      <c r="I234" s="23" t="s">
        <v>31</v>
      </c>
      <c r="J234" s="23" t="s">
        <v>31</v>
      </c>
      <c r="K234" s="23" t="s">
        <v>31</v>
      </c>
      <c r="L234" s="23" t="s">
        <v>35</v>
      </c>
      <c r="M234" s="24">
        <f t="shared" si="15"/>
        <v>4</v>
      </c>
      <c r="N234" s="24">
        <f t="shared" si="16"/>
        <v>2</v>
      </c>
      <c r="O234" s="24">
        <f t="shared" si="17"/>
        <v>3</v>
      </c>
      <c r="P234" s="24">
        <f t="shared" si="18"/>
        <v>0</v>
      </c>
      <c r="Q234" s="25">
        <f t="shared" si="19"/>
        <v>0.55555555555555558</v>
      </c>
      <c r="R234" s="26" t="s">
        <v>978</v>
      </c>
    </row>
    <row r="235" spans="1:18" ht="25.5" customHeight="1" x14ac:dyDescent="0.35">
      <c r="A235" s="21">
        <v>231</v>
      </c>
      <c r="B235" s="22" t="s">
        <v>972</v>
      </c>
      <c r="C235" s="14" t="s">
        <v>979</v>
      </c>
      <c r="D235" s="23" t="s">
        <v>35</v>
      </c>
      <c r="E235" s="23" t="s">
        <v>31</v>
      </c>
      <c r="F235" s="23" t="s">
        <v>35</v>
      </c>
      <c r="G235" s="23" t="s">
        <v>33</v>
      </c>
      <c r="H235" s="23" t="s">
        <v>35</v>
      </c>
      <c r="I235" s="23" t="s">
        <v>31</v>
      </c>
      <c r="J235" s="23" t="s">
        <v>31</v>
      </c>
      <c r="K235" s="23" t="s">
        <v>33</v>
      </c>
      <c r="L235" s="23" t="s">
        <v>35</v>
      </c>
      <c r="M235" s="24">
        <f t="shared" si="15"/>
        <v>3</v>
      </c>
      <c r="N235" s="24">
        <f t="shared" si="16"/>
        <v>2</v>
      </c>
      <c r="O235" s="24">
        <f t="shared" si="17"/>
        <v>4</v>
      </c>
      <c r="P235" s="24">
        <f t="shared" si="18"/>
        <v>0</v>
      </c>
      <c r="Q235" s="25">
        <f t="shared" si="19"/>
        <v>0.44444444444444442</v>
      </c>
      <c r="R235" s="26" t="s">
        <v>980</v>
      </c>
    </row>
    <row r="236" spans="1:18" ht="25.5" customHeight="1" x14ac:dyDescent="0.35">
      <c r="A236" s="21">
        <v>232</v>
      </c>
      <c r="B236" s="22" t="s">
        <v>972</v>
      </c>
      <c r="C236" s="14" t="s">
        <v>981</v>
      </c>
      <c r="D236" s="23" t="s">
        <v>33</v>
      </c>
      <c r="E236" s="23" t="s">
        <v>31</v>
      </c>
      <c r="F236" s="23" t="s">
        <v>33</v>
      </c>
      <c r="G236" s="23" t="s">
        <v>31</v>
      </c>
      <c r="H236" s="23" t="s">
        <v>35</v>
      </c>
      <c r="I236" s="23" t="s">
        <v>31</v>
      </c>
      <c r="J236" s="23" t="s">
        <v>31</v>
      </c>
      <c r="K236" s="23" t="s">
        <v>31</v>
      </c>
      <c r="L236" s="23" t="s">
        <v>33</v>
      </c>
      <c r="M236" s="24">
        <f t="shared" si="15"/>
        <v>5</v>
      </c>
      <c r="N236" s="24">
        <f t="shared" si="16"/>
        <v>3</v>
      </c>
      <c r="O236" s="24">
        <f t="shared" si="17"/>
        <v>1</v>
      </c>
      <c r="P236" s="24">
        <f t="shared" si="18"/>
        <v>0</v>
      </c>
      <c r="Q236" s="25">
        <f t="shared" si="19"/>
        <v>0.72222222222222221</v>
      </c>
      <c r="R236" s="26"/>
    </row>
    <row r="237" spans="1:18" ht="25.5" customHeight="1" x14ac:dyDescent="0.35">
      <c r="A237" s="21">
        <v>233</v>
      </c>
      <c r="B237" s="22" t="s">
        <v>972</v>
      </c>
      <c r="C237" s="14" t="s">
        <v>982</v>
      </c>
      <c r="D237" s="23" t="s">
        <v>35</v>
      </c>
      <c r="E237" s="23" t="s">
        <v>33</v>
      </c>
      <c r="F237" s="23" t="s">
        <v>35</v>
      </c>
      <c r="G237" s="23" t="s">
        <v>35</v>
      </c>
      <c r="H237" s="23" t="s">
        <v>35</v>
      </c>
      <c r="I237" s="23" t="s">
        <v>31</v>
      </c>
      <c r="J237" s="23" t="s">
        <v>33</v>
      </c>
      <c r="K237" s="23" t="s">
        <v>33</v>
      </c>
      <c r="L237" s="23" t="s">
        <v>35</v>
      </c>
      <c r="M237" s="24">
        <f t="shared" si="15"/>
        <v>1</v>
      </c>
      <c r="N237" s="24">
        <f t="shared" si="16"/>
        <v>3</v>
      </c>
      <c r="O237" s="24">
        <f t="shared" si="17"/>
        <v>5</v>
      </c>
      <c r="P237" s="24">
        <f t="shared" si="18"/>
        <v>0</v>
      </c>
      <c r="Q237" s="25">
        <f t="shared" si="19"/>
        <v>0.27777777777777779</v>
      </c>
      <c r="R237" s="26" t="s">
        <v>983</v>
      </c>
    </row>
    <row r="238" spans="1:18" ht="25.5" customHeight="1" x14ac:dyDescent="0.35">
      <c r="A238" s="21">
        <v>234</v>
      </c>
      <c r="B238" s="22" t="s">
        <v>972</v>
      </c>
      <c r="C238" s="14" t="s">
        <v>984</v>
      </c>
      <c r="D238" s="23" t="s">
        <v>35</v>
      </c>
      <c r="E238" s="23" t="s">
        <v>33</v>
      </c>
      <c r="F238" s="23" t="s">
        <v>35</v>
      </c>
      <c r="G238" s="23" t="s">
        <v>35</v>
      </c>
      <c r="H238" s="23" t="s">
        <v>35</v>
      </c>
      <c r="I238" s="23" t="s">
        <v>31</v>
      </c>
      <c r="J238" s="23" t="s">
        <v>33</v>
      </c>
      <c r="K238" s="23" t="s">
        <v>35</v>
      </c>
      <c r="L238" s="23" t="s">
        <v>35</v>
      </c>
      <c r="M238" s="24">
        <f t="shared" si="15"/>
        <v>1</v>
      </c>
      <c r="N238" s="24">
        <f t="shared" si="16"/>
        <v>2</v>
      </c>
      <c r="O238" s="24">
        <f t="shared" si="17"/>
        <v>6</v>
      </c>
      <c r="P238" s="24">
        <f t="shared" si="18"/>
        <v>0</v>
      </c>
      <c r="Q238" s="25">
        <f t="shared" si="19"/>
        <v>0.22222222222222221</v>
      </c>
      <c r="R238" s="26" t="s">
        <v>985</v>
      </c>
    </row>
    <row r="239" spans="1:18" ht="25.5" customHeight="1" x14ac:dyDescent="0.35">
      <c r="A239" s="21">
        <v>235</v>
      </c>
      <c r="B239" s="22" t="s">
        <v>972</v>
      </c>
      <c r="C239" s="14" t="s">
        <v>986</v>
      </c>
      <c r="D239" s="23" t="s">
        <v>35</v>
      </c>
      <c r="E239" s="23" t="s">
        <v>33</v>
      </c>
      <c r="F239" s="23" t="s">
        <v>33</v>
      </c>
      <c r="G239" s="23" t="s">
        <v>35</v>
      </c>
      <c r="H239" s="23" t="s">
        <v>35</v>
      </c>
      <c r="I239" s="23" t="s">
        <v>31</v>
      </c>
      <c r="J239" s="23" t="s">
        <v>33</v>
      </c>
      <c r="K239" s="23" t="s">
        <v>33</v>
      </c>
      <c r="L239" s="23" t="s">
        <v>35</v>
      </c>
      <c r="M239" s="24">
        <f t="shared" si="15"/>
        <v>1</v>
      </c>
      <c r="N239" s="24">
        <f t="shared" si="16"/>
        <v>4</v>
      </c>
      <c r="O239" s="24">
        <f t="shared" si="17"/>
        <v>4</v>
      </c>
      <c r="P239" s="24">
        <f t="shared" si="18"/>
        <v>0</v>
      </c>
      <c r="Q239" s="25">
        <f t="shared" si="19"/>
        <v>0.33333333333333331</v>
      </c>
      <c r="R239" s="26"/>
    </row>
    <row r="240" spans="1:18" ht="25.5" customHeight="1" x14ac:dyDescent="0.35">
      <c r="A240" s="21">
        <v>236</v>
      </c>
      <c r="B240" s="22" t="s">
        <v>972</v>
      </c>
      <c r="C240" s="14" t="s">
        <v>987</v>
      </c>
      <c r="D240" s="23" t="s">
        <v>31</v>
      </c>
      <c r="E240" s="23" t="s">
        <v>31</v>
      </c>
      <c r="F240" s="23" t="s">
        <v>31</v>
      </c>
      <c r="G240" s="23" t="s">
        <v>31</v>
      </c>
      <c r="H240" s="23" t="s">
        <v>35</v>
      </c>
      <c r="I240" s="23" t="s">
        <v>31</v>
      </c>
      <c r="J240" s="23" t="s">
        <v>31</v>
      </c>
      <c r="K240" s="23" t="s">
        <v>31</v>
      </c>
      <c r="L240" s="23" t="s">
        <v>33</v>
      </c>
      <c r="M240" s="24">
        <f t="shared" si="15"/>
        <v>7</v>
      </c>
      <c r="N240" s="24">
        <f t="shared" si="16"/>
        <v>1</v>
      </c>
      <c r="O240" s="24">
        <f t="shared" si="17"/>
        <v>1</v>
      </c>
      <c r="P240" s="24">
        <f t="shared" si="18"/>
        <v>0</v>
      </c>
      <c r="Q240" s="25">
        <f t="shared" si="19"/>
        <v>0.83333333333333337</v>
      </c>
      <c r="R240" s="26" t="s">
        <v>988</v>
      </c>
    </row>
    <row r="241" spans="1:18" ht="25.5" customHeight="1" x14ac:dyDescent="0.35">
      <c r="A241" s="21">
        <v>237</v>
      </c>
      <c r="B241" s="22" t="s">
        <v>972</v>
      </c>
      <c r="C241" s="14" t="s">
        <v>989</v>
      </c>
      <c r="D241" s="23" t="s">
        <v>31</v>
      </c>
      <c r="E241" s="23" t="s">
        <v>31</v>
      </c>
      <c r="F241" s="23" t="s">
        <v>33</v>
      </c>
      <c r="G241" s="23" t="s">
        <v>33</v>
      </c>
      <c r="H241" s="23" t="s">
        <v>35</v>
      </c>
      <c r="I241" s="23" t="s">
        <v>31</v>
      </c>
      <c r="J241" s="23" t="s">
        <v>31</v>
      </c>
      <c r="K241" s="23" t="s">
        <v>31</v>
      </c>
      <c r="L241" s="23" t="s">
        <v>33</v>
      </c>
      <c r="M241" s="24">
        <f t="shared" si="15"/>
        <v>5</v>
      </c>
      <c r="N241" s="24">
        <f t="shared" si="16"/>
        <v>3</v>
      </c>
      <c r="O241" s="24">
        <f t="shared" si="17"/>
        <v>1</v>
      </c>
      <c r="P241" s="24">
        <f t="shared" si="18"/>
        <v>0</v>
      </c>
      <c r="Q241" s="25">
        <f t="shared" si="19"/>
        <v>0.72222222222222221</v>
      </c>
      <c r="R241" s="26" t="s">
        <v>990</v>
      </c>
    </row>
    <row r="242" spans="1:18" ht="25.5" customHeight="1" x14ac:dyDescent="0.35">
      <c r="A242" s="21">
        <v>238</v>
      </c>
      <c r="B242" s="22" t="s">
        <v>972</v>
      </c>
      <c r="C242" s="14" t="s">
        <v>991</v>
      </c>
      <c r="D242" s="23" t="s">
        <v>31</v>
      </c>
      <c r="E242" s="23" t="s">
        <v>31</v>
      </c>
      <c r="F242" s="23" t="s">
        <v>31</v>
      </c>
      <c r="G242" s="23" t="s">
        <v>33</v>
      </c>
      <c r="H242" s="23" t="s">
        <v>31</v>
      </c>
      <c r="I242" s="23" t="s">
        <v>31</v>
      </c>
      <c r="J242" s="23" t="s">
        <v>31</v>
      </c>
      <c r="K242" s="23" t="s">
        <v>31</v>
      </c>
      <c r="L242" s="23" t="s">
        <v>33</v>
      </c>
      <c r="M242" s="24">
        <f t="shared" si="15"/>
        <v>7</v>
      </c>
      <c r="N242" s="24">
        <f t="shared" si="16"/>
        <v>2</v>
      </c>
      <c r="O242" s="24">
        <f t="shared" si="17"/>
        <v>0</v>
      </c>
      <c r="P242" s="24">
        <f t="shared" si="18"/>
        <v>0</v>
      </c>
      <c r="Q242" s="25">
        <f t="shared" si="19"/>
        <v>0.88888888888888884</v>
      </c>
      <c r="R242" s="26"/>
    </row>
    <row r="243" spans="1:18" ht="25.5" customHeight="1" x14ac:dyDescent="0.35">
      <c r="A243" s="21">
        <v>239</v>
      </c>
      <c r="B243" s="22" t="s">
        <v>972</v>
      </c>
      <c r="C243" s="14" t="s">
        <v>992</v>
      </c>
      <c r="D243" s="23" t="s">
        <v>31</v>
      </c>
      <c r="E243" s="23" t="s">
        <v>31</v>
      </c>
      <c r="F243" s="23" t="s">
        <v>33</v>
      </c>
      <c r="G243" s="23" t="s">
        <v>35</v>
      </c>
      <c r="H243" s="23" t="s">
        <v>35</v>
      </c>
      <c r="I243" s="23" t="s">
        <v>31</v>
      </c>
      <c r="J243" s="23" t="s">
        <v>33</v>
      </c>
      <c r="K243" s="23" t="s">
        <v>35</v>
      </c>
      <c r="L243" s="23" t="s">
        <v>35</v>
      </c>
      <c r="M243" s="24">
        <f t="shared" si="15"/>
        <v>3</v>
      </c>
      <c r="N243" s="24">
        <f t="shared" si="16"/>
        <v>2</v>
      </c>
      <c r="O243" s="24">
        <f t="shared" si="17"/>
        <v>4</v>
      </c>
      <c r="P243" s="24">
        <f t="shared" si="18"/>
        <v>0</v>
      </c>
      <c r="Q243" s="25">
        <f t="shared" si="19"/>
        <v>0.44444444444444442</v>
      </c>
      <c r="R243" s="26" t="s">
        <v>993</v>
      </c>
    </row>
    <row r="244" spans="1:18" ht="25.5" customHeight="1" x14ac:dyDescent="0.35">
      <c r="A244" s="21">
        <v>240</v>
      </c>
      <c r="B244" s="22" t="s">
        <v>972</v>
      </c>
      <c r="C244" s="14" t="s">
        <v>994</v>
      </c>
      <c r="D244" s="23" t="s">
        <v>33</v>
      </c>
      <c r="E244" s="23" t="s">
        <v>31</v>
      </c>
      <c r="F244" s="23" t="s">
        <v>33</v>
      </c>
      <c r="G244" s="23" t="s">
        <v>35</v>
      </c>
      <c r="H244" s="23" t="s">
        <v>35</v>
      </c>
      <c r="I244" s="23" t="s">
        <v>33</v>
      </c>
      <c r="J244" s="23" t="s">
        <v>35</v>
      </c>
      <c r="K244" s="23" t="s">
        <v>35</v>
      </c>
      <c r="L244" s="23" t="s">
        <v>35</v>
      </c>
      <c r="M244" s="24">
        <f t="shared" si="15"/>
        <v>1</v>
      </c>
      <c r="N244" s="24">
        <f t="shared" si="16"/>
        <v>3</v>
      </c>
      <c r="O244" s="24">
        <f t="shared" si="17"/>
        <v>5</v>
      </c>
      <c r="P244" s="24">
        <f t="shared" si="18"/>
        <v>0</v>
      </c>
      <c r="Q244" s="25">
        <f t="shared" si="19"/>
        <v>0.27777777777777779</v>
      </c>
      <c r="R244" s="26" t="s">
        <v>995</v>
      </c>
    </row>
    <row r="245" spans="1:18" ht="25.5" customHeight="1" x14ac:dyDescent="0.35">
      <c r="A245" s="21">
        <v>241</v>
      </c>
      <c r="B245" s="22" t="s">
        <v>972</v>
      </c>
      <c r="C245" s="14" t="s">
        <v>996</v>
      </c>
      <c r="D245" s="23" t="s">
        <v>35</v>
      </c>
      <c r="E245" s="23" t="s">
        <v>33</v>
      </c>
      <c r="F245" s="23" t="s">
        <v>33</v>
      </c>
      <c r="G245" s="23" t="s">
        <v>35</v>
      </c>
      <c r="H245" s="23" t="s">
        <v>35</v>
      </c>
      <c r="I245" s="23" t="s">
        <v>33</v>
      </c>
      <c r="J245" s="23" t="s">
        <v>35</v>
      </c>
      <c r="K245" s="23" t="s">
        <v>35</v>
      </c>
      <c r="L245" s="23" t="s">
        <v>35</v>
      </c>
      <c r="M245" s="24">
        <f t="shared" si="15"/>
        <v>0</v>
      </c>
      <c r="N245" s="24">
        <f t="shared" si="16"/>
        <v>3</v>
      </c>
      <c r="O245" s="24">
        <f t="shared" si="17"/>
        <v>6</v>
      </c>
      <c r="P245" s="24">
        <f t="shared" si="18"/>
        <v>0</v>
      </c>
      <c r="Q245" s="25">
        <f t="shared" si="19"/>
        <v>0.16666666666666666</v>
      </c>
      <c r="R245" s="26" t="s">
        <v>997</v>
      </c>
    </row>
    <row r="246" spans="1:18" ht="25.5" customHeight="1" x14ac:dyDescent="0.35">
      <c r="A246" s="21">
        <v>242</v>
      </c>
      <c r="B246" s="22" t="s">
        <v>972</v>
      </c>
      <c r="C246" s="14" t="s">
        <v>998</v>
      </c>
      <c r="D246" s="23" t="s">
        <v>35</v>
      </c>
      <c r="E246" s="23" t="s">
        <v>33</v>
      </c>
      <c r="F246" s="23" t="s">
        <v>35</v>
      </c>
      <c r="G246" s="23" t="s">
        <v>35</v>
      </c>
      <c r="H246" s="23" t="s">
        <v>35</v>
      </c>
      <c r="I246" s="23" t="s">
        <v>33</v>
      </c>
      <c r="J246" s="23" t="s">
        <v>35</v>
      </c>
      <c r="K246" s="23" t="s">
        <v>35</v>
      </c>
      <c r="L246" s="23" t="s">
        <v>35</v>
      </c>
      <c r="M246" s="24">
        <f t="shared" si="15"/>
        <v>0</v>
      </c>
      <c r="N246" s="24">
        <f t="shared" si="16"/>
        <v>2</v>
      </c>
      <c r="O246" s="24">
        <f t="shared" si="17"/>
        <v>7</v>
      </c>
      <c r="P246" s="24">
        <f t="shared" si="18"/>
        <v>0</v>
      </c>
      <c r="Q246" s="25">
        <f t="shared" si="19"/>
        <v>0.1111111111111111</v>
      </c>
      <c r="R246" s="26" t="s">
        <v>999</v>
      </c>
    </row>
    <row r="247" spans="1:18" ht="25.5" customHeight="1" x14ac:dyDescent="0.35">
      <c r="A247" s="21">
        <v>243</v>
      </c>
      <c r="B247" s="22" t="s">
        <v>972</v>
      </c>
      <c r="C247" s="14" t="s">
        <v>1000</v>
      </c>
      <c r="D247" s="23" t="s">
        <v>35</v>
      </c>
      <c r="E247" s="23" t="s">
        <v>33</v>
      </c>
      <c r="F247" s="23" t="s">
        <v>35</v>
      </c>
      <c r="G247" s="23" t="s">
        <v>35</v>
      </c>
      <c r="H247" s="23" t="s">
        <v>35</v>
      </c>
      <c r="I247" s="23" t="s">
        <v>33</v>
      </c>
      <c r="J247" s="23" t="s">
        <v>35</v>
      </c>
      <c r="K247" s="23" t="s">
        <v>35</v>
      </c>
      <c r="L247" s="23" t="s">
        <v>35</v>
      </c>
      <c r="M247" s="24">
        <f t="shared" si="15"/>
        <v>0</v>
      </c>
      <c r="N247" s="24">
        <f t="shared" si="16"/>
        <v>2</v>
      </c>
      <c r="O247" s="24">
        <f t="shared" si="17"/>
        <v>7</v>
      </c>
      <c r="P247" s="24">
        <f t="shared" si="18"/>
        <v>0</v>
      </c>
      <c r="Q247" s="25">
        <f t="shared" si="19"/>
        <v>0.1111111111111111</v>
      </c>
      <c r="R247" s="26" t="s">
        <v>1001</v>
      </c>
    </row>
    <row r="248" spans="1:18" ht="25.5" customHeight="1" x14ac:dyDescent="0.35">
      <c r="A248" s="21">
        <v>244</v>
      </c>
      <c r="B248" s="22" t="s">
        <v>972</v>
      </c>
      <c r="C248" s="14" t="s">
        <v>1002</v>
      </c>
      <c r="D248" s="23" t="s">
        <v>35</v>
      </c>
      <c r="E248" s="23" t="s">
        <v>33</v>
      </c>
      <c r="F248" s="23" t="s">
        <v>33</v>
      </c>
      <c r="G248" s="23" t="s">
        <v>35</v>
      </c>
      <c r="H248" s="23" t="s">
        <v>31</v>
      </c>
      <c r="I248" s="23" t="s">
        <v>31</v>
      </c>
      <c r="J248" s="23" t="s">
        <v>33</v>
      </c>
      <c r="K248" s="23" t="s">
        <v>33</v>
      </c>
      <c r="L248" s="23" t="s">
        <v>35</v>
      </c>
      <c r="M248" s="24">
        <f t="shared" si="15"/>
        <v>2</v>
      </c>
      <c r="N248" s="24">
        <f t="shared" si="16"/>
        <v>4</v>
      </c>
      <c r="O248" s="24">
        <f t="shared" si="17"/>
        <v>3</v>
      </c>
      <c r="P248" s="24">
        <f t="shared" si="18"/>
        <v>0</v>
      </c>
      <c r="Q248" s="25">
        <f t="shared" si="19"/>
        <v>0.44444444444444442</v>
      </c>
      <c r="R248" s="26" t="s">
        <v>1003</v>
      </c>
    </row>
    <row r="249" spans="1:18" ht="25.5" customHeight="1" x14ac:dyDescent="0.35">
      <c r="A249" s="21">
        <v>245</v>
      </c>
      <c r="B249" s="22" t="s">
        <v>972</v>
      </c>
      <c r="C249" s="14" t="s">
        <v>1004</v>
      </c>
      <c r="D249" s="23" t="s">
        <v>35</v>
      </c>
      <c r="E249" s="23" t="s">
        <v>35</v>
      </c>
      <c r="F249" s="23" t="s">
        <v>35</v>
      </c>
      <c r="G249" s="23" t="s">
        <v>35</v>
      </c>
      <c r="H249" s="23" t="s">
        <v>35</v>
      </c>
      <c r="I249" s="23" t="s">
        <v>33</v>
      </c>
      <c r="J249" s="23" t="s">
        <v>35</v>
      </c>
      <c r="K249" s="23" t="s">
        <v>35</v>
      </c>
      <c r="L249" s="23" t="s">
        <v>35</v>
      </c>
      <c r="M249" s="24">
        <f t="shared" si="15"/>
        <v>0</v>
      </c>
      <c r="N249" s="24">
        <f t="shared" si="16"/>
        <v>1</v>
      </c>
      <c r="O249" s="24">
        <f t="shared" si="17"/>
        <v>8</v>
      </c>
      <c r="P249" s="24">
        <f t="shared" si="18"/>
        <v>0</v>
      </c>
      <c r="Q249" s="25">
        <f t="shared" si="19"/>
        <v>5.5555555555555552E-2</v>
      </c>
      <c r="R249" s="26" t="s">
        <v>1005</v>
      </c>
    </row>
    <row r="250" spans="1:18" ht="25.5" customHeight="1" x14ac:dyDescent="0.35">
      <c r="A250" s="21">
        <v>246</v>
      </c>
      <c r="B250" s="22" t="s">
        <v>972</v>
      </c>
      <c r="C250" s="14" t="s">
        <v>1006</v>
      </c>
      <c r="D250" s="23" t="s">
        <v>35</v>
      </c>
      <c r="E250" s="23" t="s">
        <v>35</v>
      </c>
      <c r="F250" s="23" t="s">
        <v>35</v>
      </c>
      <c r="G250" s="23" t="s">
        <v>35</v>
      </c>
      <c r="H250" s="23" t="s">
        <v>35</v>
      </c>
      <c r="I250" s="23" t="s">
        <v>35</v>
      </c>
      <c r="J250" s="23" t="s">
        <v>35</v>
      </c>
      <c r="K250" s="23" t="s">
        <v>35</v>
      </c>
      <c r="L250" s="23" t="s">
        <v>35</v>
      </c>
      <c r="M250" s="24">
        <f t="shared" si="15"/>
        <v>0</v>
      </c>
      <c r="N250" s="24">
        <f t="shared" si="16"/>
        <v>0</v>
      </c>
      <c r="O250" s="24">
        <f t="shared" si="17"/>
        <v>9</v>
      </c>
      <c r="P250" s="24">
        <f t="shared" si="18"/>
        <v>0</v>
      </c>
      <c r="Q250" s="25">
        <f t="shared" si="19"/>
        <v>0</v>
      </c>
      <c r="R250" s="26" t="s">
        <v>1007</v>
      </c>
    </row>
    <row r="251" spans="1:18" ht="25.5" customHeight="1" x14ac:dyDescent="0.35">
      <c r="A251" s="21">
        <v>247</v>
      </c>
      <c r="B251" s="22" t="s">
        <v>1008</v>
      </c>
      <c r="C251" s="14" t="s">
        <v>1009</v>
      </c>
      <c r="D251" s="23" t="s">
        <v>31</v>
      </c>
      <c r="E251" s="23" t="s">
        <v>31</v>
      </c>
      <c r="F251" s="23" t="s">
        <v>31</v>
      </c>
      <c r="G251" s="23" t="s">
        <v>33</v>
      </c>
      <c r="H251" s="23" t="s">
        <v>31</v>
      </c>
      <c r="I251" s="23" t="s">
        <v>31</v>
      </c>
      <c r="J251" s="23" t="s">
        <v>33</v>
      </c>
      <c r="K251" s="23" t="s">
        <v>33</v>
      </c>
      <c r="L251" s="23" t="s">
        <v>33</v>
      </c>
      <c r="M251" s="24">
        <f t="shared" si="15"/>
        <v>5</v>
      </c>
      <c r="N251" s="24">
        <f t="shared" si="16"/>
        <v>4</v>
      </c>
      <c r="O251" s="24">
        <f t="shared" si="17"/>
        <v>0</v>
      </c>
      <c r="P251" s="24">
        <f t="shared" si="18"/>
        <v>0</v>
      </c>
      <c r="Q251" s="25">
        <f t="shared" si="19"/>
        <v>0.77777777777777779</v>
      </c>
      <c r="R251" s="26" t="s">
        <v>1010</v>
      </c>
    </row>
    <row r="252" spans="1:18" ht="25.5" customHeight="1" x14ac:dyDescent="0.35">
      <c r="A252" s="21">
        <v>248</v>
      </c>
      <c r="B252" s="22" t="s">
        <v>1008</v>
      </c>
      <c r="C252" s="14" t="s">
        <v>1011</v>
      </c>
      <c r="D252" s="23" t="s">
        <v>31</v>
      </c>
      <c r="E252" s="23" t="s">
        <v>31</v>
      </c>
      <c r="F252" s="23" t="s">
        <v>31</v>
      </c>
      <c r="G252" s="23" t="s">
        <v>33</v>
      </c>
      <c r="H252" s="23" t="s">
        <v>31</v>
      </c>
      <c r="I252" s="23" t="s">
        <v>31</v>
      </c>
      <c r="J252" s="23" t="s">
        <v>33</v>
      </c>
      <c r="K252" s="23" t="s">
        <v>33</v>
      </c>
      <c r="L252" s="23" t="s">
        <v>35</v>
      </c>
      <c r="M252" s="24">
        <f t="shared" si="15"/>
        <v>5</v>
      </c>
      <c r="N252" s="24">
        <f t="shared" si="16"/>
        <v>3</v>
      </c>
      <c r="O252" s="24">
        <f t="shared" si="17"/>
        <v>1</v>
      </c>
      <c r="P252" s="24">
        <f t="shared" si="18"/>
        <v>0</v>
      </c>
      <c r="Q252" s="25">
        <f t="shared" si="19"/>
        <v>0.72222222222222221</v>
      </c>
      <c r="R252" s="26" t="s">
        <v>1012</v>
      </c>
    </row>
    <row r="253" spans="1:18" ht="25.5" customHeight="1" x14ac:dyDescent="0.35">
      <c r="A253" s="21">
        <v>249</v>
      </c>
      <c r="B253" s="22" t="s">
        <v>1008</v>
      </c>
      <c r="C253" s="14" t="s">
        <v>1013</v>
      </c>
      <c r="D253" s="23" t="s">
        <v>31</v>
      </c>
      <c r="E253" s="23" t="s">
        <v>31</v>
      </c>
      <c r="F253" s="23" t="s">
        <v>31</v>
      </c>
      <c r="G253" s="23" t="s">
        <v>31</v>
      </c>
      <c r="H253" s="23" t="s">
        <v>31</v>
      </c>
      <c r="I253" s="23" t="s">
        <v>31</v>
      </c>
      <c r="J253" s="23" t="s">
        <v>31</v>
      </c>
      <c r="K253" s="23" t="s">
        <v>31</v>
      </c>
      <c r="L253" s="23" t="s">
        <v>31</v>
      </c>
      <c r="M253" s="24">
        <f t="shared" si="15"/>
        <v>9</v>
      </c>
      <c r="N253" s="24">
        <f t="shared" si="16"/>
        <v>0</v>
      </c>
      <c r="O253" s="24">
        <f t="shared" si="17"/>
        <v>0</v>
      </c>
      <c r="P253" s="24">
        <f t="shared" si="18"/>
        <v>0</v>
      </c>
      <c r="Q253" s="25">
        <f t="shared" si="19"/>
        <v>1</v>
      </c>
      <c r="R253" s="26"/>
    </row>
    <row r="254" spans="1:18" ht="25.5" customHeight="1" x14ac:dyDescent="0.35">
      <c r="A254" s="21">
        <v>250</v>
      </c>
      <c r="B254" s="22" t="s">
        <v>1008</v>
      </c>
      <c r="C254" s="14" t="s">
        <v>1014</v>
      </c>
      <c r="D254" s="23" t="s">
        <v>31</v>
      </c>
      <c r="E254" s="23" t="s">
        <v>31</v>
      </c>
      <c r="F254" s="23" t="s">
        <v>31</v>
      </c>
      <c r="G254" s="23" t="s">
        <v>31</v>
      </c>
      <c r="H254" s="23" t="s">
        <v>31</v>
      </c>
      <c r="I254" s="23" t="s">
        <v>31</v>
      </c>
      <c r="J254" s="23" t="s">
        <v>31</v>
      </c>
      <c r="K254" s="23" t="s">
        <v>31</v>
      </c>
      <c r="L254" s="23" t="s">
        <v>31</v>
      </c>
      <c r="M254" s="24">
        <f t="shared" si="15"/>
        <v>9</v>
      </c>
      <c r="N254" s="24">
        <f t="shared" si="16"/>
        <v>0</v>
      </c>
      <c r="O254" s="24">
        <f t="shared" si="17"/>
        <v>0</v>
      </c>
      <c r="P254" s="24">
        <f t="shared" si="18"/>
        <v>0</v>
      </c>
      <c r="Q254" s="25">
        <f t="shared" si="19"/>
        <v>1</v>
      </c>
      <c r="R254" s="26"/>
    </row>
    <row r="255" spans="1:18" ht="25.5" customHeight="1" x14ac:dyDescent="0.35">
      <c r="A255" s="21">
        <v>251</v>
      </c>
      <c r="B255" s="22" t="s">
        <v>1008</v>
      </c>
      <c r="C255" s="14" t="s">
        <v>1015</v>
      </c>
      <c r="D255" s="23" t="s">
        <v>31</v>
      </c>
      <c r="E255" s="23" t="s">
        <v>31</v>
      </c>
      <c r="F255" s="23" t="s">
        <v>31</v>
      </c>
      <c r="G255" s="23" t="s">
        <v>31</v>
      </c>
      <c r="H255" s="23" t="s">
        <v>31</v>
      </c>
      <c r="I255" s="23" t="s">
        <v>31</v>
      </c>
      <c r="J255" s="23" t="s">
        <v>33</v>
      </c>
      <c r="K255" s="23" t="s">
        <v>33</v>
      </c>
      <c r="L255" s="23" t="s">
        <v>33</v>
      </c>
      <c r="M255" s="24">
        <f t="shared" si="15"/>
        <v>6</v>
      </c>
      <c r="N255" s="24">
        <f t="shared" si="16"/>
        <v>3</v>
      </c>
      <c r="O255" s="24">
        <f t="shared" si="17"/>
        <v>0</v>
      </c>
      <c r="P255" s="24">
        <f t="shared" si="18"/>
        <v>0</v>
      </c>
      <c r="Q255" s="25">
        <f t="shared" si="19"/>
        <v>0.83333333333333337</v>
      </c>
      <c r="R255" s="26" t="s">
        <v>1016</v>
      </c>
    </row>
    <row r="256" spans="1:18" ht="25.5" customHeight="1" x14ac:dyDescent="0.35">
      <c r="A256" s="21">
        <v>252</v>
      </c>
      <c r="B256" s="22" t="s">
        <v>1008</v>
      </c>
      <c r="C256" s="14" t="s">
        <v>1017</v>
      </c>
      <c r="D256" s="23" t="s">
        <v>31</v>
      </c>
      <c r="E256" s="23" t="s">
        <v>31</v>
      </c>
      <c r="F256" s="23" t="s">
        <v>832</v>
      </c>
      <c r="G256" s="23" t="s">
        <v>31</v>
      </c>
      <c r="H256" s="23" t="s">
        <v>31</v>
      </c>
      <c r="I256" s="23" t="s">
        <v>31</v>
      </c>
      <c r="J256" s="23" t="s">
        <v>33</v>
      </c>
      <c r="K256" s="23" t="s">
        <v>33</v>
      </c>
      <c r="L256" s="23" t="s">
        <v>33</v>
      </c>
      <c r="M256" s="24">
        <f t="shared" si="15"/>
        <v>6</v>
      </c>
      <c r="N256" s="24">
        <f t="shared" si="16"/>
        <v>3</v>
      </c>
      <c r="O256" s="24">
        <f t="shared" si="17"/>
        <v>0</v>
      </c>
      <c r="P256" s="24">
        <f t="shared" si="18"/>
        <v>0</v>
      </c>
      <c r="Q256" s="25">
        <f t="shared" si="19"/>
        <v>0.83333333333333337</v>
      </c>
      <c r="R256" s="26"/>
    </row>
    <row r="257" spans="1:18" ht="25.5" customHeight="1" x14ac:dyDescent="0.35">
      <c r="A257" s="21">
        <v>253</v>
      </c>
      <c r="B257" s="22" t="s">
        <v>1008</v>
      </c>
      <c r="C257" s="14" t="s">
        <v>1018</v>
      </c>
      <c r="D257" s="23" t="s">
        <v>31</v>
      </c>
      <c r="E257" s="23" t="s">
        <v>31</v>
      </c>
      <c r="F257" s="23" t="s">
        <v>832</v>
      </c>
      <c r="G257" s="23" t="s">
        <v>33</v>
      </c>
      <c r="H257" s="23" t="s">
        <v>31</v>
      </c>
      <c r="I257" s="23" t="s">
        <v>31</v>
      </c>
      <c r="J257" s="23" t="s">
        <v>33</v>
      </c>
      <c r="K257" s="23" t="s">
        <v>33</v>
      </c>
      <c r="L257" s="23" t="s">
        <v>35</v>
      </c>
      <c r="M257" s="24">
        <f t="shared" si="15"/>
        <v>5</v>
      </c>
      <c r="N257" s="24">
        <f t="shared" si="16"/>
        <v>3</v>
      </c>
      <c r="O257" s="24">
        <f t="shared" si="17"/>
        <v>1</v>
      </c>
      <c r="P257" s="24">
        <f t="shared" si="18"/>
        <v>0</v>
      </c>
      <c r="Q257" s="25">
        <f t="shared" si="19"/>
        <v>0.72222222222222221</v>
      </c>
      <c r="R257" s="26"/>
    </row>
    <row r="258" spans="1:18" ht="25.5" customHeight="1" x14ac:dyDescent="0.35">
      <c r="A258" s="21">
        <v>254</v>
      </c>
      <c r="B258" s="22" t="s">
        <v>1008</v>
      </c>
      <c r="C258" s="14" t="s">
        <v>1019</v>
      </c>
      <c r="D258" s="23" t="s">
        <v>31</v>
      </c>
      <c r="E258" s="23" t="s">
        <v>31</v>
      </c>
      <c r="F258" s="23" t="s">
        <v>832</v>
      </c>
      <c r="G258" s="23" t="s">
        <v>31</v>
      </c>
      <c r="H258" s="23" t="s">
        <v>31</v>
      </c>
      <c r="I258" s="23" t="s">
        <v>31</v>
      </c>
      <c r="J258" s="23" t="s">
        <v>31</v>
      </c>
      <c r="K258" s="23" t="s">
        <v>33</v>
      </c>
      <c r="L258" s="23" t="s">
        <v>33</v>
      </c>
      <c r="M258" s="24">
        <f t="shared" si="15"/>
        <v>7</v>
      </c>
      <c r="N258" s="24">
        <f t="shared" si="16"/>
        <v>2</v>
      </c>
      <c r="O258" s="24">
        <f t="shared" si="17"/>
        <v>0</v>
      </c>
      <c r="P258" s="24">
        <f t="shared" si="18"/>
        <v>0</v>
      </c>
      <c r="Q258" s="25">
        <f t="shared" si="19"/>
        <v>0.88888888888888884</v>
      </c>
      <c r="R258" s="26" t="s">
        <v>1020</v>
      </c>
    </row>
    <row r="259" spans="1:18" ht="25.5" customHeight="1" x14ac:dyDescent="0.35">
      <c r="A259" s="21">
        <v>255</v>
      </c>
      <c r="B259" s="22" t="s">
        <v>1008</v>
      </c>
      <c r="C259" s="14" t="s">
        <v>1021</v>
      </c>
      <c r="D259" s="23" t="s">
        <v>33</v>
      </c>
      <c r="E259" s="23" t="s">
        <v>31</v>
      </c>
      <c r="F259" s="23" t="s">
        <v>832</v>
      </c>
      <c r="G259" s="23" t="s">
        <v>35</v>
      </c>
      <c r="H259" s="23" t="s">
        <v>31</v>
      </c>
      <c r="I259" s="23" t="s">
        <v>31</v>
      </c>
      <c r="J259" s="23" t="s">
        <v>35</v>
      </c>
      <c r="K259" s="23" t="s">
        <v>33</v>
      </c>
      <c r="L259" s="23" t="s">
        <v>35</v>
      </c>
      <c r="M259" s="24">
        <f t="shared" si="15"/>
        <v>4</v>
      </c>
      <c r="N259" s="24">
        <f t="shared" si="16"/>
        <v>2</v>
      </c>
      <c r="O259" s="24">
        <f t="shared" si="17"/>
        <v>3</v>
      </c>
      <c r="P259" s="24">
        <f t="shared" si="18"/>
        <v>0</v>
      </c>
      <c r="Q259" s="25">
        <f t="shared" si="19"/>
        <v>0.55555555555555558</v>
      </c>
      <c r="R259" s="26"/>
    </row>
    <row r="260" spans="1:18" ht="25.5" customHeight="1" x14ac:dyDescent="0.35">
      <c r="A260" s="21">
        <v>256</v>
      </c>
      <c r="B260" s="22" t="s">
        <v>1008</v>
      </c>
      <c r="C260" s="14" t="s">
        <v>1022</v>
      </c>
      <c r="D260" s="23" t="s">
        <v>33</v>
      </c>
      <c r="E260" s="23" t="s">
        <v>31</v>
      </c>
      <c r="F260" s="23" t="s">
        <v>33</v>
      </c>
      <c r="G260" s="23" t="s">
        <v>35</v>
      </c>
      <c r="H260" s="23" t="s">
        <v>31</v>
      </c>
      <c r="I260" s="23" t="s">
        <v>31</v>
      </c>
      <c r="J260" s="23" t="s">
        <v>35</v>
      </c>
      <c r="K260" s="23" t="s">
        <v>35</v>
      </c>
      <c r="L260" s="23" t="s">
        <v>35</v>
      </c>
      <c r="M260" s="24">
        <f t="shared" si="15"/>
        <v>3</v>
      </c>
      <c r="N260" s="24">
        <f t="shared" si="16"/>
        <v>2</v>
      </c>
      <c r="O260" s="24">
        <f t="shared" si="17"/>
        <v>4</v>
      </c>
      <c r="P260" s="24">
        <f t="shared" si="18"/>
        <v>0</v>
      </c>
      <c r="Q260" s="25">
        <f t="shared" si="19"/>
        <v>0.44444444444444442</v>
      </c>
      <c r="R260" s="26"/>
    </row>
    <row r="261" spans="1:18" ht="25.5" customHeight="1" x14ac:dyDescent="0.35">
      <c r="A261" s="21">
        <v>257</v>
      </c>
      <c r="B261" s="22" t="s">
        <v>1008</v>
      </c>
      <c r="C261" s="14" t="s">
        <v>1023</v>
      </c>
      <c r="D261" s="23" t="s">
        <v>31</v>
      </c>
      <c r="E261" s="23" t="s">
        <v>33</v>
      </c>
      <c r="F261" s="23" t="s">
        <v>33</v>
      </c>
      <c r="G261" s="23" t="s">
        <v>35</v>
      </c>
      <c r="H261" s="23" t="s">
        <v>33</v>
      </c>
      <c r="I261" s="23" t="s">
        <v>37</v>
      </c>
      <c r="J261" s="23" t="s">
        <v>35</v>
      </c>
      <c r="K261" s="23" t="s">
        <v>35</v>
      </c>
      <c r="L261" s="23" t="s">
        <v>35</v>
      </c>
      <c r="M261" s="24">
        <f t="shared" ref="M261:M324" si="20">SUMPRODUCT(--ISNUMBER(SEARCH("✓",D261:L261)))</f>
        <v>1</v>
      </c>
      <c r="N261" s="24">
        <f t="shared" ref="N261:N324" si="21">SUMPRODUCT(--ISNUMBER(SEARCH("◐",D261:L261)))</f>
        <v>3</v>
      </c>
      <c r="O261" s="24">
        <f t="shared" ref="O261:O324" si="22">SUMPRODUCT(--ISNUMBER(SEARCH("—",D261:L261)))</f>
        <v>4</v>
      </c>
      <c r="P261" s="24">
        <f t="shared" ref="P261:P324" si="23">9-M261-N261-O261</f>
        <v>1</v>
      </c>
      <c r="Q261" s="25">
        <f t="shared" ref="Q261:Q324" si="24">(M261+0.5*N261)/9</f>
        <v>0.27777777777777779</v>
      </c>
      <c r="R261" s="26" t="s">
        <v>1024</v>
      </c>
    </row>
    <row r="262" spans="1:18" ht="25.5" customHeight="1" x14ac:dyDescent="0.35">
      <c r="A262" s="21">
        <v>258</v>
      </c>
      <c r="B262" s="22" t="s">
        <v>1008</v>
      </c>
      <c r="C262" s="14" t="s">
        <v>1025</v>
      </c>
      <c r="D262" s="23" t="s">
        <v>33</v>
      </c>
      <c r="E262" s="23" t="s">
        <v>31</v>
      </c>
      <c r="F262" s="23" t="s">
        <v>832</v>
      </c>
      <c r="G262" s="23" t="s">
        <v>31</v>
      </c>
      <c r="H262" s="23" t="s">
        <v>31</v>
      </c>
      <c r="I262" s="23" t="s">
        <v>31</v>
      </c>
      <c r="J262" s="23" t="s">
        <v>33</v>
      </c>
      <c r="K262" s="23" t="s">
        <v>33</v>
      </c>
      <c r="L262" s="23" t="s">
        <v>33</v>
      </c>
      <c r="M262" s="24">
        <f t="shared" si="20"/>
        <v>5</v>
      </c>
      <c r="N262" s="24">
        <f t="shared" si="21"/>
        <v>4</v>
      </c>
      <c r="O262" s="24">
        <f t="shared" si="22"/>
        <v>0</v>
      </c>
      <c r="P262" s="24">
        <f t="shared" si="23"/>
        <v>0</v>
      </c>
      <c r="Q262" s="25">
        <f t="shared" si="24"/>
        <v>0.77777777777777779</v>
      </c>
      <c r="R262" s="26" t="s">
        <v>1026</v>
      </c>
    </row>
    <row r="263" spans="1:18" ht="25.5" customHeight="1" x14ac:dyDescent="0.35">
      <c r="A263" s="21">
        <v>259</v>
      </c>
      <c r="B263" s="22" t="s">
        <v>1008</v>
      </c>
      <c r="C263" s="14" t="s">
        <v>1027</v>
      </c>
      <c r="D263" s="23" t="s">
        <v>33</v>
      </c>
      <c r="E263" s="23" t="s">
        <v>33</v>
      </c>
      <c r="F263" s="23" t="s">
        <v>33</v>
      </c>
      <c r="G263" s="23" t="s">
        <v>33</v>
      </c>
      <c r="H263" s="23" t="s">
        <v>35</v>
      </c>
      <c r="I263" s="23" t="s">
        <v>31</v>
      </c>
      <c r="J263" s="23" t="s">
        <v>33</v>
      </c>
      <c r="K263" s="23" t="s">
        <v>33</v>
      </c>
      <c r="L263" s="23" t="s">
        <v>35</v>
      </c>
      <c r="M263" s="24">
        <f t="shared" si="20"/>
        <v>1</v>
      </c>
      <c r="N263" s="24">
        <f t="shared" si="21"/>
        <v>6</v>
      </c>
      <c r="O263" s="24">
        <f t="shared" si="22"/>
        <v>2</v>
      </c>
      <c r="P263" s="24">
        <f t="shared" si="23"/>
        <v>0</v>
      </c>
      <c r="Q263" s="25">
        <f t="shared" si="24"/>
        <v>0.44444444444444442</v>
      </c>
      <c r="R263" s="26" t="s">
        <v>1028</v>
      </c>
    </row>
    <row r="264" spans="1:18" ht="25.5" customHeight="1" x14ac:dyDescent="0.35">
      <c r="A264" s="21">
        <v>260</v>
      </c>
      <c r="B264" s="22" t="s">
        <v>1008</v>
      </c>
      <c r="C264" s="14" t="s">
        <v>1029</v>
      </c>
      <c r="D264" s="23" t="s">
        <v>35</v>
      </c>
      <c r="E264" s="23" t="s">
        <v>33</v>
      </c>
      <c r="F264" s="23" t="s">
        <v>33</v>
      </c>
      <c r="G264" s="23" t="s">
        <v>31</v>
      </c>
      <c r="H264" s="23" t="s">
        <v>35</v>
      </c>
      <c r="I264" s="23" t="s">
        <v>33</v>
      </c>
      <c r="J264" s="23" t="s">
        <v>35</v>
      </c>
      <c r="K264" s="23" t="s">
        <v>35</v>
      </c>
      <c r="L264" s="23" t="s">
        <v>35</v>
      </c>
      <c r="M264" s="24">
        <f t="shared" si="20"/>
        <v>1</v>
      </c>
      <c r="N264" s="24">
        <f t="shared" si="21"/>
        <v>3</v>
      </c>
      <c r="O264" s="24">
        <f t="shared" si="22"/>
        <v>5</v>
      </c>
      <c r="P264" s="24">
        <f t="shared" si="23"/>
        <v>0</v>
      </c>
      <c r="Q264" s="25">
        <f t="shared" si="24"/>
        <v>0.27777777777777779</v>
      </c>
      <c r="R264" s="26" t="s">
        <v>1030</v>
      </c>
    </row>
    <row r="265" spans="1:18" ht="25.5" customHeight="1" x14ac:dyDescent="0.35">
      <c r="A265" s="21">
        <v>261</v>
      </c>
      <c r="B265" s="22" t="s">
        <v>1008</v>
      </c>
      <c r="C265" s="14" t="s">
        <v>1031</v>
      </c>
      <c r="D265" s="23" t="s">
        <v>35</v>
      </c>
      <c r="E265" s="23" t="s">
        <v>33</v>
      </c>
      <c r="F265" s="23" t="s">
        <v>33</v>
      </c>
      <c r="G265" s="23" t="s">
        <v>31</v>
      </c>
      <c r="H265" s="23" t="s">
        <v>35</v>
      </c>
      <c r="I265" s="23" t="s">
        <v>31</v>
      </c>
      <c r="J265" s="23" t="s">
        <v>33</v>
      </c>
      <c r="K265" s="23" t="s">
        <v>33</v>
      </c>
      <c r="L265" s="23" t="s">
        <v>35</v>
      </c>
      <c r="M265" s="24">
        <f t="shared" si="20"/>
        <v>2</v>
      </c>
      <c r="N265" s="24">
        <f t="shared" si="21"/>
        <v>4</v>
      </c>
      <c r="O265" s="24">
        <f t="shared" si="22"/>
        <v>3</v>
      </c>
      <c r="P265" s="24">
        <f t="shared" si="23"/>
        <v>0</v>
      </c>
      <c r="Q265" s="25">
        <f t="shared" si="24"/>
        <v>0.44444444444444442</v>
      </c>
      <c r="R265" s="26"/>
    </row>
    <row r="266" spans="1:18" ht="25.5" customHeight="1" x14ac:dyDescent="0.35">
      <c r="A266" s="21">
        <v>262</v>
      </c>
      <c r="B266" s="22" t="s">
        <v>1008</v>
      </c>
      <c r="C266" s="14" t="s">
        <v>1032</v>
      </c>
      <c r="D266" s="23" t="s">
        <v>33</v>
      </c>
      <c r="E266" s="23" t="s">
        <v>35</v>
      </c>
      <c r="F266" s="23" t="s">
        <v>35</v>
      </c>
      <c r="G266" s="23" t="s">
        <v>35</v>
      </c>
      <c r="H266" s="23" t="s">
        <v>35</v>
      </c>
      <c r="I266" s="23" t="s">
        <v>35</v>
      </c>
      <c r="J266" s="23" t="s">
        <v>35</v>
      </c>
      <c r="K266" s="23" t="s">
        <v>35</v>
      </c>
      <c r="L266" s="23" t="s">
        <v>35</v>
      </c>
      <c r="M266" s="24">
        <f t="shared" si="20"/>
        <v>0</v>
      </c>
      <c r="N266" s="24">
        <f t="shared" si="21"/>
        <v>1</v>
      </c>
      <c r="O266" s="24">
        <f t="shared" si="22"/>
        <v>8</v>
      </c>
      <c r="P266" s="24">
        <f t="shared" si="23"/>
        <v>0</v>
      </c>
      <c r="Q266" s="25">
        <f t="shared" si="24"/>
        <v>5.5555555555555552E-2</v>
      </c>
      <c r="R266" s="26" t="s">
        <v>1033</v>
      </c>
    </row>
    <row r="267" spans="1:18" ht="25.5" customHeight="1" x14ac:dyDescent="0.35">
      <c r="A267" s="21">
        <v>263</v>
      </c>
      <c r="B267" s="22" t="s">
        <v>1008</v>
      </c>
      <c r="C267" s="14" t="s">
        <v>1034</v>
      </c>
      <c r="D267" s="23" t="s">
        <v>31</v>
      </c>
      <c r="E267" s="23" t="s">
        <v>31</v>
      </c>
      <c r="F267" s="23" t="s">
        <v>31</v>
      </c>
      <c r="G267" s="23" t="s">
        <v>31</v>
      </c>
      <c r="H267" s="23" t="s">
        <v>31</v>
      </c>
      <c r="I267" s="23" t="s">
        <v>31</v>
      </c>
      <c r="J267" s="23" t="s">
        <v>33</v>
      </c>
      <c r="K267" s="23" t="s">
        <v>33</v>
      </c>
      <c r="L267" s="23" t="s">
        <v>33</v>
      </c>
      <c r="M267" s="24">
        <f t="shared" si="20"/>
        <v>6</v>
      </c>
      <c r="N267" s="24">
        <f t="shared" si="21"/>
        <v>3</v>
      </c>
      <c r="O267" s="24">
        <f t="shared" si="22"/>
        <v>0</v>
      </c>
      <c r="P267" s="24">
        <f t="shared" si="23"/>
        <v>0</v>
      </c>
      <c r="Q267" s="25">
        <f t="shared" si="24"/>
        <v>0.83333333333333337</v>
      </c>
      <c r="R267" s="26"/>
    </row>
    <row r="268" spans="1:18" ht="25.5" customHeight="1" x14ac:dyDescent="0.35">
      <c r="A268" s="21">
        <v>264</v>
      </c>
      <c r="B268" s="22" t="s">
        <v>1008</v>
      </c>
      <c r="C268" s="14" t="s">
        <v>1035</v>
      </c>
      <c r="D268" s="23" t="s">
        <v>35</v>
      </c>
      <c r="E268" s="23" t="s">
        <v>35</v>
      </c>
      <c r="F268" s="23" t="s">
        <v>35</v>
      </c>
      <c r="G268" s="23" t="s">
        <v>35</v>
      </c>
      <c r="H268" s="23" t="s">
        <v>35</v>
      </c>
      <c r="I268" s="23" t="s">
        <v>35</v>
      </c>
      <c r="J268" s="23" t="s">
        <v>35</v>
      </c>
      <c r="K268" s="23" t="s">
        <v>35</v>
      </c>
      <c r="L268" s="23" t="s">
        <v>35</v>
      </c>
      <c r="M268" s="24">
        <f t="shared" si="20"/>
        <v>0</v>
      </c>
      <c r="N268" s="24">
        <f t="shared" si="21"/>
        <v>0</v>
      </c>
      <c r="O268" s="24">
        <f t="shared" si="22"/>
        <v>9</v>
      </c>
      <c r="P268" s="24">
        <f t="shared" si="23"/>
        <v>0</v>
      </c>
      <c r="Q268" s="25">
        <f t="shared" si="24"/>
        <v>0</v>
      </c>
      <c r="R268" s="26" t="s">
        <v>798</v>
      </c>
    </row>
    <row r="269" spans="1:18" ht="25.5" customHeight="1" x14ac:dyDescent="0.35">
      <c r="A269" s="21">
        <v>265</v>
      </c>
      <c r="B269" s="22" t="s">
        <v>1036</v>
      </c>
      <c r="C269" s="14" t="s">
        <v>1037</v>
      </c>
      <c r="D269" s="23" t="s">
        <v>31</v>
      </c>
      <c r="E269" s="23" t="s">
        <v>31</v>
      </c>
      <c r="F269" s="23" t="s">
        <v>832</v>
      </c>
      <c r="G269" s="23" t="s">
        <v>35</v>
      </c>
      <c r="H269" s="23" t="s">
        <v>35</v>
      </c>
      <c r="I269" s="23" t="s">
        <v>37</v>
      </c>
      <c r="J269" s="23" t="s">
        <v>31</v>
      </c>
      <c r="K269" s="23" t="s">
        <v>31</v>
      </c>
      <c r="L269" s="23" t="s">
        <v>35</v>
      </c>
      <c r="M269" s="24">
        <f t="shared" si="20"/>
        <v>5</v>
      </c>
      <c r="N269" s="24">
        <f t="shared" si="21"/>
        <v>0</v>
      </c>
      <c r="O269" s="24">
        <f t="shared" si="22"/>
        <v>3</v>
      </c>
      <c r="P269" s="24">
        <f t="shared" si="23"/>
        <v>1</v>
      </c>
      <c r="Q269" s="25">
        <f t="shared" si="24"/>
        <v>0.55555555555555558</v>
      </c>
      <c r="R269" s="26"/>
    </row>
    <row r="270" spans="1:18" ht="25.5" customHeight="1" x14ac:dyDescent="0.35">
      <c r="A270" s="21">
        <v>266</v>
      </c>
      <c r="B270" s="22" t="s">
        <v>1036</v>
      </c>
      <c r="C270" s="14" t="s">
        <v>1038</v>
      </c>
      <c r="D270" s="23" t="s">
        <v>31</v>
      </c>
      <c r="E270" s="23" t="s">
        <v>31</v>
      </c>
      <c r="F270" s="23" t="s">
        <v>33</v>
      </c>
      <c r="G270" s="23" t="s">
        <v>35</v>
      </c>
      <c r="H270" s="23" t="s">
        <v>35</v>
      </c>
      <c r="I270" s="23" t="s">
        <v>37</v>
      </c>
      <c r="J270" s="23" t="s">
        <v>31</v>
      </c>
      <c r="K270" s="23" t="s">
        <v>31</v>
      </c>
      <c r="L270" s="23" t="s">
        <v>35</v>
      </c>
      <c r="M270" s="24">
        <f t="shared" si="20"/>
        <v>4</v>
      </c>
      <c r="N270" s="24">
        <f t="shared" si="21"/>
        <v>1</v>
      </c>
      <c r="O270" s="24">
        <f t="shared" si="22"/>
        <v>3</v>
      </c>
      <c r="P270" s="24">
        <f t="shared" si="23"/>
        <v>1</v>
      </c>
      <c r="Q270" s="25">
        <f t="shared" si="24"/>
        <v>0.5</v>
      </c>
      <c r="R270" s="26" t="s">
        <v>1039</v>
      </c>
    </row>
    <row r="271" spans="1:18" ht="25.5" customHeight="1" x14ac:dyDescent="0.35">
      <c r="A271" s="21">
        <v>267</v>
      </c>
      <c r="B271" s="22" t="s">
        <v>1036</v>
      </c>
      <c r="C271" s="14" t="s">
        <v>1040</v>
      </c>
      <c r="D271" s="23" t="s">
        <v>31</v>
      </c>
      <c r="E271" s="23" t="s">
        <v>31</v>
      </c>
      <c r="F271" s="23" t="s">
        <v>31</v>
      </c>
      <c r="G271" s="23" t="s">
        <v>35</v>
      </c>
      <c r="H271" s="23" t="s">
        <v>35</v>
      </c>
      <c r="I271" s="23" t="s">
        <v>37</v>
      </c>
      <c r="J271" s="23" t="s">
        <v>33</v>
      </c>
      <c r="K271" s="23" t="s">
        <v>33</v>
      </c>
      <c r="L271" s="23" t="s">
        <v>35</v>
      </c>
      <c r="M271" s="24">
        <f t="shared" si="20"/>
        <v>3</v>
      </c>
      <c r="N271" s="24">
        <f t="shared" si="21"/>
        <v>2</v>
      </c>
      <c r="O271" s="24">
        <f t="shared" si="22"/>
        <v>3</v>
      </c>
      <c r="P271" s="24">
        <f t="shared" si="23"/>
        <v>1</v>
      </c>
      <c r="Q271" s="25">
        <f t="shared" si="24"/>
        <v>0.44444444444444442</v>
      </c>
      <c r="R271" s="26" t="s">
        <v>1041</v>
      </c>
    </row>
    <row r="272" spans="1:18" ht="25.5" customHeight="1" x14ac:dyDescent="0.35">
      <c r="A272" s="21">
        <v>268</v>
      </c>
      <c r="B272" s="22" t="s">
        <v>1036</v>
      </c>
      <c r="C272" s="14" t="s">
        <v>1042</v>
      </c>
      <c r="D272" s="23" t="s">
        <v>31</v>
      </c>
      <c r="E272" s="23" t="s">
        <v>31</v>
      </c>
      <c r="F272" s="23" t="s">
        <v>832</v>
      </c>
      <c r="G272" s="23" t="s">
        <v>35</v>
      </c>
      <c r="H272" s="23" t="s">
        <v>35</v>
      </c>
      <c r="I272" s="23" t="s">
        <v>35</v>
      </c>
      <c r="J272" s="23" t="s">
        <v>33</v>
      </c>
      <c r="K272" s="23" t="s">
        <v>31</v>
      </c>
      <c r="L272" s="23" t="s">
        <v>35</v>
      </c>
      <c r="M272" s="24">
        <f t="shared" si="20"/>
        <v>4</v>
      </c>
      <c r="N272" s="24">
        <f t="shared" si="21"/>
        <v>1</v>
      </c>
      <c r="O272" s="24">
        <f t="shared" si="22"/>
        <v>4</v>
      </c>
      <c r="P272" s="24">
        <f t="shared" si="23"/>
        <v>0</v>
      </c>
      <c r="Q272" s="25">
        <f t="shared" si="24"/>
        <v>0.5</v>
      </c>
      <c r="R272" s="26" t="s">
        <v>1043</v>
      </c>
    </row>
    <row r="273" spans="1:18" ht="25.5" customHeight="1" x14ac:dyDescent="0.35">
      <c r="A273" s="21">
        <v>269</v>
      </c>
      <c r="B273" s="22" t="s">
        <v>1036</v>
      </c>
      <c r="C273" s="14" t="s">
        <v>1044</v>
      </c>
      <c r="D273" s="23" t="s">
        <v>31</v>
      </c>
      <c r="E273" s="23" t="s">
        <v>31</v>
      </c>
      <c r="F273" s="23" t="s">
        <v>832</v>
      </c>
      <c r="G273" s="23" t="s">
        <v>35</v>
      </c>
      <c r="H273" s="23" t="s">
        <v>35</v>
      </c>
      <c r="I273" s="23" t="s">
        <v>35</v>
      </c>
      <c r="J273" s="23" t="s">
        <v>31</v>
      </c>
      <c r="K273" s="23" t="s">
        <v>31</v>
      </c>
      <c r="L273" s="23" t="s">
        <v>35</v>
      </c>
      <c r="M273" s="24">
        <f t="shared" si="20"/>
        <v>5</v>
      </c>
      <c r="N273" s="24">
        <f t="shared" si="21"/>
        <v>0</v>
      </c>
      <c r="O273" s="24">
        <f t="shared" si="22"/>
        <v>4</v>
      </c>
      <c r="P273" s="24">
        <f t="shared" si="23"/>
        <v>0</v>
      </c>
      <c r="Q273" s="25">
        <f t="shared" si="24"/>
        <v>0.55555555555555558</v>
      </c>
      <c r="R273" s="26"/>
    </row>
    <row r="274" spans="1:18" ht="25.5" customHeight="1" x14ac:dyDescent="0.35">
      <c r="A274" s="21">
        <v>270</v>
      </c>
      <c r="B274" s="22" t="s">
        <v>1036</v>
      </c>
      <c r="C274" s="14" t="s">
        <v>1045</v>
      </c>
      <c r="D274" s="23" t="s">
        <v>33</v>
      </c>
      <c r="E274" s="23" t="s">
        <v>31</v>
      </c>
      <c r="F274" s="23" t="s">
        <v>31</v>
      </c>
      <c r="G274" s="23" t="s">
        <v>35</v>
      </c>
      <c r="H274" s="23" t="s">
        <v>35</v>
      </c>
      <c r="I274" s="23" t="s">
        <v>35</v>
      </c>
      <c r="J274" s="23" t="s">
        <v>33</v>
      </c>
      <c r="K274" s="23" t="s">
        <v>33</v>
      </c>
      <c r="L274" s="23" t="s">
        <v>35</v>
      </c>
      <c r="M274" s="24">
        <f t="shared" si="20"/>
        <v>2</v>
      </c>
      <c r="N274" s="24">
        <f t="shared" si="21"/>
        <v>3</v>
      </c>
      <c r="O274" s="24">
        <f t="shared" si="22"/>
        <v>4</v>
      </c>
      <c r="P274" s="24">
        <f t="shared" si="23"/>
        <v>0</v>
      </c>
      <c r="Q274" s="25">
        <f t="shared" si="24"/>
        <v>0.3888888888888889</v>
      </c>
      <c r="R274" s="26" t="s">
        <v>1046</v>
      </c>
    </row>
    <row r="275" spans="1:18" ht="25.5" customHeight="1" x14ac:dyDescent="0.35">
      <c r="A275" s="21">
        <v>271</v>
      </c>
      <c r="B275" s="22" t="s">
        <v>1036</v>
      </c>
      <c r="C275" s="14" t="s">
        <v>1047</v>
      </c>
      <c r="D275" s="23" t="s">
        <v>31</v>
      </c>
      <c r="E275" s="23" t="s">
        <v>31</v>
      </c>
      <c r="F275" s="23" t="s">
        <v>33</v>
      </c>
      <c r="G275" s="23" t="s">
        <v>35</v>
      </c>
      <c r="H275" s="23" t="s">
        <v>35</v>
      </c>
      <c r="I275" s="23" t="s">
        <v>35</v>
      </c>
      <c r="J275" s="23" t="s">
        <v>31</v>
      </c>
      <c r="K275" s="23" t="s">
        <v>31</v>
      </c>
      <c r="L275" s="23" t="s">
        <v>35</v>
      </c>
      <c r="M275" s="24">
        <f t="shared" si="20"/>
        <v>4</v>
      </c>
      <c r="N275" s="24">
        <f t="shared" si="21"/>
        <v>1</v>
      </c>
      <c r="O275" s="24">
        <f t="shared" si="22"/>
        <v>4</v>
      </c>
      <c r="P275" s="24">
        <f t="shared" si="23"/>
        <v>0</v>
      </c>
      <c r="Q275" s="25">
        <f t="shared" si="24"/>
        <v>0.5</v>
      </c>
      <c r="R275" s="26"/>
    </row>
    <row r="276" spans="1:18" ht="25.5" customHeight="1" x14ac:dyDescent="0.35">
      <c r="A276" s="21">
        <v>272</v>
      </c>
      <c r="B276" s="22" t="s">
        <v>1036</v>
      </c>
      <c r="C276" s="14" t="s">
        <v>1048</v>
      </c>
      <c r="D276" s="23" t="s">
        <v>33</v>
      </c>
      <c r="E276" s="23" t="s">
        <v>31</v>
      </c>
      <c r="F276" s="23" t="s">
        <v>33</v>
      </c>
      <c r="G276" s="23" t="s">
        <v>35</v>
      </c>
      <c r="H276" s="23" t="s">
        <v>35</v>
      </c>
      <c r="I276" s="23" t="s">
        <v>35</v>
      </c>
      <c r="J276" s="23" t="s">
        <v>33</v>
      </c>
      <c r="K276" s="23" t="s">
        <v>33</v>
      </c>
      <c r="L276" s="23" t="s">
        <v>35</v>
      </c>
      <c r="M276" s="24">
        <f t="shared" si="20"/>
        <v>1</v>
      </c>
      <c r="N276" s="24">
        <f t="shared" si="21"/>
        <v>4</v>
      </c>
      <c r="O276" s="24">
        <f t="shared" si="22"/>
        <v>4</v>
      </c>
      <c r="P276" s="24">
        <f t="shared" si="23"/>
        <v>0</v>
      </c>
      <c r="Q276" s="25">
        <f t="shared" si="24"/>
        <v>0.33333333333333331</v>
      </c>
      <c r="R276" s="26" t="s">
        <v>1049</v>
      </c>
    </row>
    <row r="277" spans="1:18" ht="25.5" customHeight="1" x14ac:dyDescent="0.35">
      <c r="A277" s="21">
        <v>273</v>
      </c>
      <c r="B277" s="22" t="s">
        <v>1036</v>
      </c>
      <c r="C277" s="14" t="s">
        <v>1050</v>
      </c>
      <c r="D277" s="23" t="s">
        <v>33</v>
      </c>
      <c r="E277" s="23" t="s">
        <v>31</v>
      </c>
      <c r="F277" s="23" t="s">
        <v>35</v>
      </c>
      <c r="G277" s="23" t="s">
        <v>35</v>
      </c>
      <c r="H277" s="23" t="s">
        <v>35</v>
      </c>
      <c r="I277" s="23" t="s">
        <v>35</v>
      </c>
      <c r="J277" s="23" t="s">
        <v>31</v>
      </c>
      <c r="K277" s="23" t="s">
        <v>33</v>
      </c>
      <c r="L277" s="23" t="s">
        <v>35</v>
      </c>
      <c r="M277" s="24">
        <f t="shared" si="20"/>
        <v>2</v>
      </c>
      <c r="N277" s="24">
        <f t="shared" si="21"/>
        <v>2</v>
      </c>
      <c r="O277" s="24">
        <f t="shared" si="22"/>
        <v>5</v>
      </c>
      <c r="P277" s="24">
        <f t="shared" si="23"/>
        <v>0</v>
      </c>
      <c r="Q277" s="25">
        <f t="shared" si="24"/>
        <v>0.33333333333333331</v>
      </c>
      <c r="R277" s="26" t="s">
        <v>1051</v>
      </c>
    </row>
    <row r="278" spans="1:18" ht="25.5" customHeight="1" x14ac:dyDescent="0.35">
      <c r="A278" s="21">
        <v>274</v>
      </c>
      <c r="B278" s="22" t="s">
        <v>1036</v>
      </c>
      <c r="C278" s="14" t="s">
        <v>1052</v>
      </c>
      <c r="D278" s="23" t="s">
        <v>35</v>
      </c>
      <c r="E278" s="23" t="s">
        <v>33</v>
      </c>
      <c r="F278" s="23" t="s">
        <v>35</v>
      </c>
      <c r="G278" s="23" t="s">
        <v>35</v>
      </c>
      <c r="H278" s="23" t="s">
        <v>35</v>
      </c>
      <c r="I278" s="23" t="s">
        <v>35</v>
      </c>
      <c r="J278" s="23" t="s">
        <v>33</v>
      </c>
      <c r="K278" s="23" t="s">
        <v>35</v>
      </c>
      <c r="L278" s="23" t="s">
        <v>35</v>
      </c>
      <c r="M278" s="24">
        <f t="shared" si="20"/>
        <v>0</v>
      </c>
      <c r="N278" s="24">
        <f t="shared" si="21"/>
        <v>2</v>
      </c>
      <c r="O278" s="24">
        <f t="shared" si="22"/>
        <v>7</v>
      </c>
      <c r="P278" s="24">
        <f t="shared" si="23"/>
        <v>0</v>
      </c>
      <c r="Q278" s="25">
        <f t="shared" si="24"/>
        <v>0.1111111111111111</v>
      </c>
      <c r="R278" s="26"/>
    </row>
    <row r="279" spans="1:18" ht="25.5" customHeight="1" x14ac:dyDescent="0.35">
      <c r="A279" s="21">
        <v>275</v>
      </c>
      <c r="B279" s="22" t="s">
        <v>1036</v>
      </c>
      <c r="C279" s="14" t="s">
        <v>1053</v>
      </c>
      <c r="D279" s="23" t="s">
        <v>31</v>
      </c>
      <c r="E279" s="23" t="s">
        <v>31</v>
      </c>
      <c r="F279" s="23" t="s">
        <v>33</v>
      </c>
      <c r="G279" s="23" t="s">
        <v>35</v>
      </c>
      <c r="H279" s="23" t="s">
        <v>35</v>
      </c>
      <c r="I279" s="23" t="s">
        <v>35</v>
      </c>
      <c r="J279" s="23" t="s">
        <v>33</v>
      </c>
      <c r="K279" s="23" t="s">
        <v>33</v>
      </c>
      <c r="L279" s="23" t="s">
        <v>35</v>
      </c>
      <c r="M279" s="24">
        <f t="shared" si="20"/>
        <v>2</v>
      </c>
      <c r="N279" s="24">
        <f t="shared" si="21"/>
        <v>3</v>
      </c>
      <c r="O279" s="24">
        <f t="shared" si="22"/>
        <v>4</v>
      </c>
      <c r="P279" s="24">
        <f t="shared" si="23"/>
        <v>0</v>
      </c>
      <c r="Q279" s="25">
        <f t="shared" si="24"/>
        <v>0.3888888888888889</v>
      </c>
      <c r="R279" s="26" t="s">
        <v>1054</v>
      </c>
    </row>
    <row r="280" spans="1:18" ht="25.5" customHeight="1" x14ac:dyDescent="0.35">
      <c r="A280" s="21">
        <v>276</v>
      </c>
      <c r="B280" s="22" t="s">
        <v>1036</v>
      </c>
      <c r="C280" s="14" t="s">
        <v>1055</v>
      </c>
      <c r="D280" s="23" t="s">
        <v>35</v>
      </c>
      <c r="E280" s="23" t="s">
        <v>33</v>
      </c>
      <c r="F280" s="23" t="s">
        <v>35</v>
      </c>
      <c r="G280" s="23" t="s">
        <v>35</v>
      </c>
      <c r="H280" s="23" t="s">
        <v>35</v>
      </c>
      <c r="I280" s="23" t="s">
        <v>35</v>
      </c>
      <c r="J280" s="23" t="s">
        <v>33</v>
      </c>
      <c r="K280" s="23" t="s">
        <v>35</v>
      </c>
      <c r="L280" s="23" t="s">
        <v>35</v>
      </c>
      <c r="M280" s="24">
        <f t="shared" si="20"/>
        <v>0</v>
      </c>
      <c r="N280" s="24">
        <f t="shared" si="21"/>
        <v>2</v>
      </c>
      <c r="O280" s="24">
        <f t="shared" si="22"/>
        <v>7</v>
      </c>
      <c r="P280" s="24">
        <f t="shared" si="23"/>
        <v>0</v>
      </c>
      <c r="Q280" s="25">
        <f t="shared" si="24"/>
        <v>0.1111111111111111</v>
      </c>
      <c r="R280" s="26" t="s">
        <v>1056</v>
      </c>
    </row>
    <row r="281" spans="1:18" ht="25.5" customHeight="1" x14ac:dyDescent="0.35">
      <c r="A281" s="21">
        <v>277</v>
      </c>
      <c r="B281" s="22" t="s">
        <v>1036</v>
      </c>
      <c r="C281" s="14" t="s">
        <v>1057</v>
      </c>
      <c r="D281" s="23" t="s">
        <v>33</v>
      </c>
      <c r="E281" s="23" t="s">
        <v>31</v>
      </c>
      <c r="F281" s="23" t="s">
        <v>33</v>
      </c>
      <c r="G281" s="23" t="s">
        <v>31</v>
      </c>
      <c r="H281" s="23" t="s">
        <v>35</v>
      </c>
      <c r="I281" s="23" t="s">
        <v>31</v>
      </c>
      <c r="J281" s="23" t="s">
        <v>31</v>
      </c>
      <c r="K281" s="23" t="s">
        <v>33</v>
      </c>
      <c r="L281" s="23" t="s">
        <v>35</v>
      </c>
      <c r="M281" s="24">
        <f t="shared" si="20"/>
        <v>4</v>
      </c>
      <c r="N281" s="24">
        <f t="shared" si="21"/>
        <v>3</v>
      </c>
      <c r="O281" s="24">
        <f t="shared" si="22"/>
        <v>2</v>
      </c>
      <c r="P281" s="24">
        <f t="shared" si="23"/>
        <v>0</v>
      </c>
      <c r="Q281" s="25">
        <f t="shared" si="24"/>
        <v>0.61111111111111116</v>
      </c>
      <c r="R281" s="26" t="s">
        <v>1058</v>
      </c>
    </row>
    <row r="282" spans="1:18" ht="25.5" customHeight="1" x14ac:dyDescent="0.35">
      <c r="A282" s="21">
        <v>278</v>
      </c>
      <c r="B282" s="22" t="s">
        <v>1036</v>
      </c>
      <c r="C282" s="14" t="s">
        <v>1059</v>
      </c>
      <c r="D282" s="23" t="s">
        <v>35</v>
      </c>
      <c r="E282" s="23" t="s">
        <v>33</v>
      </c>
      <c r="F282" s="23" t="s">
        <v>35</v>
      </c>
      <c r="G282" s="23" t="s">
        <v>35</v>
      </c>
      <c r="H282" s="23" t="s">
        <v>35</v>
      </c>
      <c r="I282" s="23" t="s">
        <v>35</v>
      </c>
      <c r="J282" s="23" t="s">
        <v>33</v>
      </c>
      <c r="K282" s="23" t="s">
        <v>35</v>
      </c>
      <c r="L282" s="23" t="s">
        <v>35</v>
      </c>
      <c r="M282" s="24">
        <f t="shared" si="20"/>
        <v>0</v>
      </c>
      <c r="N282" s="24">
        <f t="shared" si="21"/>
        <v>2</v>
      </c>
      <c r="O282" s="24">
        <f t="shared" si="22"/>
        <v>7</v>
      </c>
      <c r="P282" s="24">
        <f t="shared" si="23"/>
        <v>0</v>
      </c>
      <c r="Q282" s="25">
        <f t="shared" si="24"/>
        <v>0.1111111111111111</v>
      </c>
      <c r="R282" s="26" t="s">
        <v>1060</v>
      </c>
    </row>
    <row r="283" spans="1:18" ht="25.5" customHeight="1" x14ac:dyDescent="0.35">
      <c r="A283" s="21">
        <v>279</v>
      </c>
      <c r="B283" s="22" t="s">
        <v>1061</v>
      </c>
      <c r="C283" s="14" t="s">
        <v>1062</v>
      </c>
      <c r="D283" s="23" t="s">
        <v>35</v>
      </c>
      <c r="E283" s="23" t="s">
        <v>35</v>
      </c>
      <c r="F283" s="23" t="s">
        <v>580</v>
      </c>
      <c r="G283" s="23" t="s">
        <v>35</v>
      </c>
      <c r="H283" s="23" t="s">
        <v>35</v>
      </c>
      <c r="I283" s="23" t="s">
        <v>35</v>
      </c>
      <c r="J283" s="23" t="s">
        <v>35</v>
      </c>
      <c r="K283" s="23" t="s">
        <v>35</v>
      </c>
      <c r="L283" s="23" t="s">
        <v>35</v>
      </c>
      <c r="M283" s="24">
        <f t="shared" si="20"/>
        <v>1</v>
      </c>
      <c r="N283" s="24">
        <f t="shared" si="21"/>
        <v>0</v>
      </c>
      <c r="O283" s="24">
        <f t="shared" si="22"/>
        <v>8</v>
      </c>
      <c r="P283" s="24">
        <f t="shared" si="23"/>
        <v>0</v>
      </c>
      <c r="Q283" s="25">
        <f t="shared" si="24"/>
        <v>0.1111111111111111</v>
      </c>
      <c r="R283" s="26" t="s">
        <v>1063</v>
      </c>
    </row>
    <row r="284" spans="1:18" ht="25.5" customHeight="1" x14ac:dyDescent="0.35">
      <c r="A284" s="21">
        <v>280</v>
      </c>
      <c r="B284" s="22" t="s">
        <v>1061</v>
      </c>
      <c r="C284" s="14" t="s">
        <v>1064</v>
      </c>
      <c r="D284" s="23" t="s">
        <v>35</v>
      </c>
      <c r="E284" s="23" t="s">
        <v>35</v>
      </c>
      <c r="F284" s="23" t="s">
        <v>580</v>
      </c>
      <c r="G284" s="23" t="s">
        <v>35</v>
      </c>
      <c r="H284" s="23" t="s">
        <v>35</v>
      </c>
      <c r="I284" s="23" t="s">
        <v>35</v>
      </c>
      <c r="J284" s="23" t="s">
        <v>35</v>
      </c>
      <c r="K284" s="23" t="s">
        <v>35</v>
      </c>
      <c r="L284" s="23" t="s">
        <v>35</v>
      </c>
      <c r="M284" s="24">
        <f t="shared" si="20"/>
        <v>1</v>
      </c>
      <c r="N284" s="24">
        <f t="shared" si="21"/>
        <v>0</v>
      </c>
      <c r="O284" s="24">
        <f t="shared" si="22"/>
        <v>8</v>
      </c>
      <c r="P284" s="24">
        <f t="shared" si="23"/>
        <v>0</v>
      </c>
      <c r="Q284" s="25">
        <f t="shared" si="24"/>
        <v>0.1111111111111111</v>
      </c>
      <c r="R284" s="26" t="s">
        <v>1065</v>
      </c>
    </row>
    <row r="285" spans="1:18" ht="25.5" customHeight="1" x14ac:dyDescent="0.35">
      <c r="A285" s="21">
        <v>281</v>
      </c>
      <c r="B285" s="22" t="s">
        <v>1061</v>
      </c>
      <c r="C285" s="14" t="s">
        <v>1066</v>
      </c>
      <c r="D285" s="23" t="s">
        <v>35</v>
      </c>
      <c r="E285" s="23" t="s">
        <v>35</v>
      </c>
      <c r="F285" s="23" t="s">
        <v>580</v>
      </c>
      <c r="G285" s="23" t="s">
        <v>35</v>
      </c>
      <c r="H285" s="23" t="s">
        <v>35</v>
      </c>
      <c r="I285" s="23" t="s">
        <v>35</v>
      </c>
      <c r="J285" s="23" t="s">
        <v>35</v>
      </c>
      <c r="K285" s="23" t="s">
        <v>35</v>
      </c>
      <c r="L285" s="23" t="s">
        <v>35</v>
      </c>
      <c r="M285" s="24">
        <f t="shared" si="20"/>
        <v>1</v>
      </c>
      <c r="N285" s="24">
        <f t="shared" si="21"/>
        <v>0</v>
      </c>
      <c r="O285" s="24">
        <f t="shared" si="22"/>
        <v>8</v>
      </c>
      <c r="P285" s="24">
        <f t="shared" si="23"/>
        <v>0</v>
      </c>
      <c r="Q285" s="25">
        <f t="shared" si="24"/>
        <v>0.1111111111111111</v>
      </c>
      <c r="R285" s="26" t="s">
        <v>1067</v>
      </c>
    </row>
    <row r="286" spans="1:18" ht="25.5" customHeight="1" x14ac:dyDescent="0.35">
      <c r="A286" s="21">
        <v>282</v>
      </c>
      <c r="B286" s="22" t="s">
        <v>1061</v>
      </c>
      <c r="C286" s="14" t="s">
        <v>1068</v>
      </c>
      <c r="D286" s="23" t="s">
        <v>35</v>
      </c>
      <c r="E286" s="23" t="s">
        <v>35</v>
      </c>
      <c r="F286" s="23" t="s">
        <v>580</v>
      </c>
      <c r="G286" s="23" t="s">
        <v>35</v>
      </c>
      <c r="H286" s="23" t="s">
        <v>35</v>
      </c>
      <c r="I286" s="23" t="s">
        <v>35</v>
      </c>
      <c r="J286" s="23" t="s">
        <v>35</v>
      </c>
      <c r="K286" s="23" t="s">
        <v>35</v>
      </c>
      <c r="L286" s="23" t="s">
        <v>35</v>
      </c>
      <c r="M286" s="24">
        <f t="shared" si="20"/>
        <v>1</v>
      </c>
      <c r="N286" s="24">
        <f t="shared" si="21"/>
        <v>0</v>
      </c>
      <c r="O286" s="24">
        <f t="shared" si="22"/>
        <v>8</v>
      </c>
      <c r="P286" s="24">
        <f t="shared" si="23"/>
        <v>0</v>
      </c>
      <c r="Q286" s="25">
        <f t="shared" si="24"/>
        <v>0.1111111111111111</v>
      </c>
      <c r="R286" s="26" t="s">
        <v>1069</v>
      </c>
    </row>
    <row r="287" spans="1:18" ht="25.5" customHeight="1" x14ac:dyDescent="0.35">
      <c r="A287" s="21">
        <v>283</v>
      </c>
      <c r="B287" s="22" t="s">
        <v>1061</v>
      </c>
      <c r="C287" s="14" t="s">
        <v>1070</v>
      </c>
      <c r="D287" s="23" t="s">
        <v>35</v>
      </c>
      <c r="E287" s="23" t="s">
        <v>35</v>
      </c>
      <c r="F287" s="23" t="s">
        <v>580</v>
      </c>
      <c r="G287" s="23" t="s">
        <v>35</v>
      </c>
      <c r="H287" s="23" t="s">
        <v>35</v>
      </c>
      <c r="I287" s="23" t="s">
        <v>35</v>
      </c>
      <c r="J287" s="23" t="s">
        <v>35</v>
      </c>
      <c r="K287" s="23" t="s">
        <v>35</v>
      </c>
      <c r="L287" s="23" t="s">
        <v>35</v>
      </c>
      <c r="M287" s="24">
        <f t="shared" si="20"/>
        <v>1</v>
      </c>
      <c r="N287" s="24">
        <f t="shared" si="21"/>
        <v>0</v>
      </c>
      <c r="O287" s="24">
        <f t="shared" si="22"/>
        <v>8</v>
      </c>
      <c r="P287" s="24">
        <f t="shared" si="23"/>
        <v>0</v>
      </c>
      <c r="Q287" s="25">
        <f t="shared" si="24"/>
        <v>0.1111111111111111</v>
      </c>
      <c r="R287" s="26"/>
    </row>
    <row r="288" spans="1:18" ht="25.5" customHeight="1" x14ac:dyDescent="0.35">
      <c r="A288" s="21">
        <v>284</v>
      </c>
      <c r="B288" s="22" t="s">
        <v>1061</v>
      </c>
      <c r="C288" s="14" t="s">
        <v>1071</v>
      </c>
      <c r="D288" s="23" t="s">
        <v>35</v>
      </c>
      <c r="E288" s="23" t="s">
        <v>35</v>
      </c>
      <c r="F288" s="23" t="s">
        <v>37</v>
      </c>
      <c r="G288" s="23" t="s">
        <v>35</v>
      </c>
      <c r="H288" s="23" t="s">
        <v>35</v>
      </c>
      <c r="I288" s="23" t="s">
        <v>35</v>
      </c>
      <c r="J288" s="23" t="s">
        <v>35</v>
      </c>
      <c r="K288" s="23" t="s">
        <v>35</v>
      </c>
      <c r="L288" s="23" t="s">
        <v>35</v>
      </c>
      <c r="M288" s="24">
        <f t="shared" si="20"/>
        <v>0</v>
      </c>
      <c r="N288" s="24">
        <f t="shared" si="21"/>
        <v>0</v>
      </c>
      <c r="O288" s="24">
        <f t="shared" si="22"/>
        <v>8</v>
      </c>
      <c r="P288" s="24">
        <f t="shared" si="23"/>
        <v>1</v>
      </c>
      <c r="Q288" s="25">
        <f t="shared" si="24"/>
        <v>0</v>
      </c>
      <c r="R288" s="26" t="s">
        <v>1072</v>
      </c>
    </row>
    <row r="289" spans="1:18" ht="25.5" customHeight="1" x14ac:dyDescent="0.35">
      <c r="A289" s="21">
        <v>285</v>
      </c>
      <c r="B289" s="22" t="s">
        <v>1061</v>
      </c>
      <c r="C289" s="14" t="s">
        <v>1073</v>
      </c>
      <c r="D289" s="23" t="s">
        <v>35</v>
      </c>
      <c r="E289" s="23" t="s">
        <v>35</v>
      </c>
      <c r="F289" s="23" t="s">
        <v>580</v>
      </c>
      <c r="G289" s="23" t="s">
        <v>35</v>
      </c>
      <c r="H289" s="23" t="s">
        <v>35</v>
      </c>
      <c r="I289" s="23" t="s">
        <v>35</v>
      </c>
      <c r="J289" s="23" t="s">
        <v>35</v>
      </c>
      <c r="K289" s="23" t="s">
        <v>35</v>
      </c>
      <c r="L289" s="23" t="s">
        <v>35</v>
      </c>
      <c r="M289" s="24">
        <f t="shared" si="20"/>
        <v>1</v>
      </c>
      <c r="N289" s="24">
        <f t="shared" si="21"/>
        <v>0</v>
      </c>
      <c r="O289" s="24">
        <f t="shared" si="22"/>
        <v>8</v>
      </c>
      <c r="P289" s="24">
        <f t="shared" si="23"/>
        <v>0</v>
      </c>
      <c r="Q289" s="25">
        <f t="shared" si="24"/>
        <v>0.1111111111111111</v>
      </c>
      <c r="R289" s="26" t="s">
        <v>1074</v>
      </c>
    </row>
    <row r="290" spans="1:18" ht="25.5" customHeight="1" x14ac:dyDescent="0.35">
      <c r="A290" s="21">
        <v>286</v>
      </c>
      <c r="B290" s="22" t="s">
        <v>1061</v>
      </c>
      <c r="C290" s="14" t="s">
        <v>1075</v>
      </c>
      <c r="D290" s="23" t="s">
        <v>35</v>
      </c>
      <c r="E290" s="23" t="s">
        <v>35</v>
      </c>
      <c r="F290" s="23" t="s">
        <v>579</v>
      </c>
      <c r="G290" s="23" t="s">
        <v>35</v>
      </c>
      <c r="H290" s="23" t="s">
        <v>35</v>
      </c>
      <c r="I290" s="23" t="s">
        <v>35</v>
      </c>
      <c r="J290" s="23" t="s">
        <v>35</v>
      </c>
      <c r="K290" s="23" t="s">
        <v>35</v>
      </c>
      <c r="L290" s="23" t="s">
        <v>35</v>
      </c>
      <c r="M290" s="24">
        <f t="shared" si="20"/>
        <v>0</v>
      </c>
      <c r="N290" s="24">
        <f t="shared" si="21"/>
        <v>1</v>
      </c>
      <c r="O290" s="24">
        <f t="shared" si="22"/>
        <v>8</v>
      </c>
      <c r="P290" s="24">
        <f t="shared" si="23"/>
        <v>0</v>
      </c>
      <c r="Q290" s="25">
        <f t="shared" si="24"/>
        <v>5.5555555555555552E-2</v>
      </c>
      <c r="R290" s="26"/>
    </row>
    <row r="291" spans="1:18" ht="25.5" customHeight="1" x14ac:dyDescent="0.35">
      <c r="A291" s="21">
        <v>287</v>
      </c>
      <c r="B291" s="22" t="s">
        <v>1061</v>
      </c>
      <c r="C291" s="14" t="s">
        <v>1076</v>
      </c>
      <c r="D291" s="23" t="s">
        <v>35</v>
      </c>
      <c r="E291" s="23" t="s">
        <v>35</v>
      </c>
      <c r="F291" s="23" t="s">
        <v>35</v>
      </c>
      <c r="G291" s="23" t="s">
        <v>35</v>
      </c>
      <c r="H291" s="23" t="s">
        <v>35</v>
      </c>
      <c r="I291" s="23" t="s">
        <v>33</v>
      </c>
      <c r="J291" s="23" t="s">
        <v>35</v>
      </c>
      <c r="K291" s="23" t="s">
        <v>35</v>
      </c>
      <c r="L291" s="23" t="s">
        <v>35</v>
      </c>
      <c r="M291" s="24">
        <f t="shared" si="20"/>
        <v>0</v>
      </c>
      <c r="N291" s="24">
        <f t="shared" si="21"/>
        <v>1</v>
      </c>
      <c r="O291" s="24">
        <f t="shared" si="22"/>
        <v>8</v>
      </c>
      <c r="P291" s="24">
        <f t="shared" si="23"/>
        <v>0</v>
      </c>
      <c r="Q291" s="25">
        <f t="shared" si="24"/>
        <v>5.5555555555555552E-2</v>
      </c>
      <c r="R291" s="26" t="s">
        <v>1077</v>
      </c>
    </row>
    <row r="292" spans="1:18" ht="25.5" customHeight="1" x14ac:dyDescent="0.35">
      <c r="A292" s="21">
        <v>288</v>
      </c>
      <c r="B292" s="22" t="s">
        <v>1061</v>
      </c>
      <c r="C292" s="14" t="s">
        <v>1078</v>
      </c>
      <c r="D292" s="23" t="s">
        <v>35</v>
      </c>
      <c r="E292" s="23" t="s">
        <v>35</v>
      </c>
      <c r="F292" s="23" t="s">
        <v>33</v>
      </c>
      <c r="G292" s="23" t="s">
        <v>35</v>
      </c>
      <c r="H292" s="23" t="s">
        <v>35</v>
      </c>
      <c r="I292" s="23" t="s">
        <v>35</v>
      </c>
      <c r="J292" s="23" t="s">
        <v>35</v>
      </c>
      <c r="K292" s="23" t="s">
        <v>35</v>
      </c>
      <c r="L292" s="23" t="s">
        <v>35</v>
      </c>
      <c r="M292" s="24">
        <f t="shared" si="20"/>
        <v>0</v>
      </c>
      <c r="N292" s="24">
        <f t="shared" si="21"/>
        <v>1</v>
      </c>
      <c r="O292" s="24">
        <f t="shared" si="22"/>
        <v>8</v>
      </c>
      <c r="P292" s="24">
        <f t="shared" si="23"/>
        <v>0</v>
      </c>
      <c r="Q292" s="25">
        <f t="shared" si="24"/>
        <v>5.5555555555555552E-2</v>
      </c>
      <c r="R292" s="26" t="s">
        <v>1079</v>
      </c>
    </row>
    <row r="293" spans="1:18" ht="25.5" customHeight="1" x14ac:dyDescent="0.35">
      <c r="A293" s="21">
        <v>289</v>
      </c>
      <c r="B293" s="22" t="s">
        <v>1061</v>
      </c>
      <c r="C293" s="14" t="s">
        <v>1080</v>
      </c>
      <c r="D293" s="23" t="s">
        <v>35</v>
      </c>
      <c r="E293" s="23" t="s">
        <v>35</v>
      </c>
      <c r="F293" s="23" t="s">
        <v>31</v>
      </c>
      <c r="G293" s="23" t="s">
        <v>35</v>
      </c>
      <c r="H293" s="23" t="s">
        <v>35</v>
      </c>
      <c r="I293" s="23" t="s">
        <v>35</v>
      </c>
      <c r="J293" s="23" t="s">
        <v>35</v>
      </c>
      <c r="K293" s="23" t="s">
        <v>35</v>
      </c>
      <c r="L293" s="23" t="s">
        <v>35</v>
      </c>
      <c r="M293" s="24">
        <f t="shared" si="20"/>
        <v>1</v>
      </c>
      <c r="N293" s="24">
        <f t="shared" si="21"/>
        <v>0</v>
      </c>
      <c r="O293" s="24">
        <f t="shared" si="22"/>
        <v>8</v>
      </c>
      <c r="P293" s="24">
        <f t="shared" si="23"/>
        <v>0</v>
      </c>
      <c r="Q293" s="25">
        <f t="shared" si="24"/>
        <v>0.1111111111111111</v>
      </c>
      <c r="R293" s="26" t="s">
        <v>1081</v>
      </c>
    </row>
    <row r="294" spans="1:18" ht="25.5" customHeight="1" x14ac:dyDescent="0.35">
      <c r="A294" s="21">
        <v>290</v>
      </c>
      <c r="B294" s="22" t="s">
        <v>1082</v>
      </c>
      <c r="C294" s="14" t="s">
        <v>1083</v>
      </c>
      <c r="D294" s="23" t="s">
        <v>31</v>
      </c>
      <c r="E294" s="23" t="s">
        <v>31</v>
      </c>
      <c r="F294" s="23" t="s">
        <v>31</v>
      </c>
      <c r="G294" s="23" t="s">
        <v>33</v>
      </c>
      <c r="H294" s="23" t="s">
        <v>31</v>
      </c>
      <c r="I294" s="23" t="s">
        <v>31</v>
      </c>
      <c r="J294" s="23" t="s">
        <v>33</v>
      </c>
      <c r="K294" s="23" t="s">
        <v>33</v>
      </c>
      <c r="L294" s="23" t="s">
        <v>33</v>
      </c>
      <c r="M294" s="24">
        <f t="shared" si="20"/>
        <v>5</v>
      </c>
      <c r="N294" s="24">
        <f t="shared" si="21"/>
        <v>4</v>
      </c>
      <c r="O294" s="24">
        <f t="shared" si="22"/>
        <v>0</v>
      </c>
      <c r="P294" s="24">
        <f t="shared" si="23"/>
        <v>0</v>
      </c>
      <c r="Q294" s="25">
        <f t="shared" si="24"/>
        <v>0.77777777777777779</v>
      </c>
      <c r="R294" s="26"/>
    </row>
    <row r="295" spans="1:18" ht="25.5" customHeight="1" x14ac:dyDescent="0.35">
      <c r="A295" s="21">
        <v>291</v>
      </c>
      <c r="B295" s="22" t="s">
        <v>1082</v>
      </c>
      <c r="C295" s="14" t="s">
        <v>1084</v>
      </c>
      <c r="D295" s="23" t="s">
        <v>31</v>
      </c>
      <c r="E295" s="23" t="s">
        <v>31</v>
      </c>
      <c r="F295" s="23" t="s">
        <v>31</v>
      </c>
      <c r="G295" s="23" t="s">
        <v>31</v>
      </c>
      <c r="H295" s="23" t="s">
        <v>33</v>
      </c>
      <c r="I295" s="23" t="s">
        <v>31</v>
      </c>
      <c r="J295" s="23" t="s">
        <v>31</v>
      </c>
      <c r="K295" s="23" t="s">
        <v>33</v>
      </c>
      <c r="L295" s="23" t="s">
        <v>33</v>
      </c>
      <c r="M295" s="24">
        <f t="shared" si="20"/>
        <v>6</v>
      </c>
      <c r="N295" s="24">
        <f t="shared" si="21"/>
        <v>3</v>
      </c>
      <c r="O295" s="24">
        <f t="shared" si="22"/>
        <v>0</v>
      </c>
      <c r="P295" s="24">
        <f t="shared" si="23"/>
        <v>0</v>
      </c>
      <c r="Q295" s="25">
        <f t="shared" si="24"/>
        <v>0.83333333333333337</v>
      </c>
      <c r="R295" s="26"/>
    </row>
    <row r="296" spans="1:18" ht="25.5" customHeight="1" x14ac:dyDescent="0.35">
      <c r="A296" s="21">
        <v>292</v>
      </c>
      <c r="B296" s="22" t="s">
        <v>1082</v>
      </c>
      <c r="C296" s="14" t="s">
        <v>1085</v>
      </c>
      <c r="D296" s="23" t="s">
        <v>31</v>
      </c>
      <c r="E296" s="23" t="s">
        <v>31</v>
      </c>
      <c r="F296" s="23" t="s">
        <v>31</v>
      </c>
      <c r="G296" s="23" t="s">
        <v>31</v>
      </c>
      <c r="H296" s="23" t="s">
        <v>33</v>
      </c>
      <c r="I296" s="23" t="s">
        <v>33</v>
      </c>
      <c r="J296" s="23" t="s">
        <v>31</v>
      </c>
      <c r="K296" s="23" t="s">
        <v>33</v>
      </c>
      <c r="L296" s="23" t="s">
        <v>31</v>
      </c>
      <c r="M296" s="24">
        <f t="shared" si="20"/>
        <v>6</v>
      </c>
      <c r="N296" s="24">
        <f t="shared" si="21"/>
        <v>3</v>
      </c>
      <c r="O296" s="24">
        <f t="shared" si="22"/>
        <v>0</v>
      </c>
      <c r="P296" s="24">
        <f t="shared" si="23"/>
        <v>0</v>
      </c>
      <c r="Q296" s="25">
        <f t="shared" si="24"/>
        <v>0.83333333333333337</v>
      </c>
      <c r="R296" s="26"/>
    </row>
    <row r="297" spans="1:18" ht="25.5" customHeight="1" x14ac:dyDescent="0.35">
      <c r="A297" s="21">
        <v>293</v>
      </c>
      <c r="B297" s="22" t="s">
        <v>1082</v>
      </c>
      <c r="C297" s="14" t="s">
        <v>1086</v>
      </c>
      <c r="D297" s="23" t="s">
        <v>31</v>
      </c>
      <c r="E297" s="23" t="s">
        <v>31</v>
      </c>
      <c r="F297" s="23" t="s">
        <v>33</v>
      </c>
      <c r="G297" s="23" t="s">
        <v>35</v>
      </c>
      <c r="H297" s="23" t="s">
        <v>35</v>
      </c>
      <c r="I297" s="23" t="s">
        <v>33</v>
      </c>
      <c r="J297" s="23" t="s">
        <v>35</v>
      </c>
      <c r="K297" s="23" t="s">
        <v>35</v>
      </c>
      <c r="L297" s="23" t="s">
        <v>35</v>
      </c>
      <c r="M297" s="24">
        <f t="shared" si="20"/>
        <v>2</v>
      </c>
      <c r="N297" s="24">
        <f t="shared" si="21"/>
        <v>2</v>
      </c>
      <c r="O297" s="24">
        <f t="shared" si="22"/>
        <v>5</v>
      </c>
      <c r="P297" s="24">
        <f t="shared" si="23"/>
        <v>0</v>
      </c>
      <c r="Q297" s="25">
        <f t="shared" si="24"/>
        <v>0.33333333333333331</v>
      </c>
      <c r="R297" s="26" t="s">
        <v>1087</v>
      </c>
    </row>
    <row r="298" spans="1:18" ht="25.5" customHeight="1" x14ac:dyDescent="0.35">
      <c r="A298" s="21">
        <v>294</v>
      </c>
      <c r="B298" s="22" t="s">
        <v>1082</v>
      </c>
      <c r="C298" s="14" t="s">
        <v>1088</v>
      </c>
      <c r="D298" s="23" t="s">
        <v>35</v>
      </c>
      <c r="E298" s="23" t="s">
        <v>31</v>
      </c>
      <c r="F298" s="23" t="s">
        <v>35</v>
      </c>
      <c r="G298" s="23" t="s">
        <v>35</v>
      </c>
      <c r="H298" s="23" t="s">
        <v>35</v>
      </c>
      <c r="I298" s="23" t="s">
        <v>35</v>
      </c>
      <c r="J298" s="23" t="s">
        <v>35</v>
      </c>
      <c r="K298" s="23" t="s">
        <v>35</v>
      </c>
      <c r="L298" s="23" t="s">
        <v>35</v>
      </c>
      <c r="M298" s="24">
        <f t="shared" si="20"/>
        <v>1</v>
      </c>
      <c r="N298" s="24">
        <f t="shared" si="21"/>
        <v>0</v>
      </c>
      <c r="O298" s="24">
        <f t="shared" si="22"/>
        <v>8</v>
      </c>
      <c r="P298" s="24">
        <f t="shared" si="23"/>
        <v>0</v>
      </c>
      <c r="Q298" s="25">
        <f t="shared" si="24"/>
        <v>0.1111111111111111</v>
      </c>
      <c r="R298" s="26" t="s">
        <v>1089</v>
      </c>
    </row>
    <row r="299" spans="1:18" ht="25.5" customHeight="1" x14ac:dyDescent="0.35">
      <c r="A299" s="21">
        <v>295</v>
      </c>
      <c r="B299" s="22" t="s">
        <v>1082</v>
      </c>
      <c r="C299" s="14" t="s">
        <v>1090</v>
      </c>
      <c r="D299" s="23" t="s">
        <v>31</v>
      </c>
      <c r="E299" s="23" t="s">
        <v>33</v>
      </c>
      <c r="F299" s="23" t="s">
        <v>33</v>
      </c>
      <c r="G299" s="23" t="s">
        <v>33</v>
      </c>
      <c r="H299" s="23" t="s">
        <v>35</v>
      </c>
      <c r="I299" s="23" t="s">
        <v>33</v>
      </c>
      <c r="J299" s="23" t="s">
        <v>35</v>
      </c>
      <c r="K299" s="23" t="s">
        <v>35</v>
      </c>
      <c r="L299" s="23" t="s">
        <v>35</v>
      </c>
      <c r="M299" s="24">
        <f t="shared" si="20"/>
        <v>1</v>
      </c>
      <c r="N299" s="24">
        <f t="shared" si="21"/>
        <v>4</v>
      </c>
      <c r="O299" s="24">
        <f t="shared" si="22"/>
        <v>4</v>
      </c>
      <c r="P299" s="24">
        <f t="shared" si="23"/>
        <v>0</v>
      </c>
      <c r="Q299" s="25">
        <f t="shared" si="24"/>
        <v>0.33333333333333331</v>
      </c>
      <c r="R299" s="26"/>
    </row>
    <row r="300" spans="1:18" ht="25.5" customHeight="1" x14ac:dyDescent="0.35">
      <c r="A300" s="21">
        <v>296</v>
      </c>
      <c r="B300" s="22" t="s">
        <v>1082</v>
      </c>
      <c r="C300" s="14" t="s">
        <v>1091</v>
      </c>
      <c r="D300" s="23" t="s">
        <v>35</v>
      </c>
      <c r="E300" s="23" t="s">
        <v>35</v>
      </c>
      <c r="F300" s="23" t="s">
        <v>35</v>
      </c>
      <c r="G300" s="23" t="s">
        <v>35</v>
      </c>
      <c r="H300" s="23" t="s">
        <v>35</v>
      </c>
      <c r="I300" s="23" t="s">
        <v>35</v>
      </c>
      <c r="J300" s="23" t="s">
        <v>35</v>
      </c>
      <c r="K300" s="23" t="s">
        <v>35</v>
      </c>
      <c r="L300" s="23" t="s">
        <v>35</v>
      </c>
      <c r="M300" s="24">
        <f t="shared" si="20"/>
        <v>0</v>
      </c>
      <c r="N300" s="24">
        <f t="shared" si="21"/>
        <v>0</v>
      </c>
      <c r="O300" s="24">
        <f t="shared" si="22"/>
        <v>9</v>
      </c>
      <c r="P300" s="24">
        <f t="shared" si="23"/>
        <v>0</v>
      </c>
      <c r="Q300" s="25">
        <f t="shared" si="24"/>
        <v>0</v>
      </c>
      <c r="R300" s="26" t="s">
        <v>1092</v>
      </c>
    </row>
    <row r="301" spans="1:18" ht="25.5" customHeight="1" x14ac:dyDescent="0.35">
      <c r="A301" s="21">
        <v>297</v>
      </c>
      <c r="B301" s="22" t="s">
        <v>1082</v>
      </c>
      <c r="C301" s="14" t="s">
        <v>1093</v>
      </c>
      <c r="D301" s="23" t="s">
        <v>35</v>
      </c>
      <c r="E301" s="23" t="s">
        <v>35</v>
      </c>
      <c r="F301" s="23" t="s">
        <v>35</v>
      </c>
      <c r="G301" s="23" t="s">
        <v>35</v>
      </c>
      <c r="H301" s="23" t="s">
        <v>35</v>
      </c>
      <c r="I301" s="23" t="s">
        <v>35</v>
      </c>
      <c r="J301" s="23" t="s">
        <v>35</v>
      </c>
      <c r="K301" s="23" t="s">
        <v>35</v>
      </c>
      <c r="L301" s="23" t="s">
        <v>35</v>
      </c>
      <c r="M301" s="24">
        <f t="shared" si="20"/>
        <v>0</v>
      </c>
      <c r="N301" s="24">
        <f t="shared" si="21"/>
        <v>0</v>
      </c>
      <c r="O301" s="24">
        <f t="shared" si="22"/>
        <v>9</v>
      </c>
      <c r="P301" s="24">
        <f t="shared" si="23"/>
        <v>0</v>
      </c>
      <c r="Q301" s="25">
        <f t="shared" si="24"/>
        <v>0</v>
      </c>
      <c r="R301" s="26" t="s">
        <v>1094</v>
      </c>
    </row>
    <row r="302" spans="1:18" ht="25.5" customHeight="1" x14ac:dyDescent="0.35">
      <c r="A302" s="21">
        <v>298</v>
      </c>
      <c r="B302" s="22" t="s">
        <v>1082</v>
      </c>
      <c r="C302" s="14" t="s">
        <v>1095</v>
      </c>
      <c r="D302" s="23" t="s">
        <v>35</v>
      </c>
      <c r="E302" s="23" t="s">
        <v>35</v>
      </c>
      <c r="F302" s="23" t="s">
        <v>35</v>
      </c>
      <c r="G302" s="23" t="s">
        <v>35</v>
      </c>
      <c r="H302" s="23" t="s">
        <v>35</v>
      </c>
      <c r="I302" s="23" t="s">
        <v>35</v>
      </c>
      <c r="J302" s="23" t="s">
        <v>35</v>
      </c>
      <c r="K302" s="23" t="s">
        <v>35</v>
      </c>
      <c r="L302" s="23" t="s">
        <v>35</v>
      </c>
      <c r="M302" s="24">
        <f t="shared" si="20"/>
        <v>0</v>
      </c>
      <c r="N302" s="24">
        <f t="shared" si="21"/>
        <v>0</v>
      </c>
      <c r="O302" s="24">
        <f t="shared" si="22"/>
        <v>9</v>
      </c>
      <c r="P302" s="24">
        <f t="shared" si="23"/>
        <v>0</v>
      </c>
      <c r="Q302" s="25">
        <f t="shared" si="24"/>
        <v>0</v>
      </c>
      <c r="R302" s="26" t="s">
        <v>1094</v>
      </c>
    </row>
    <row r="303" spans="1:18" ht="25.5" customHeight="1" x14ac:dyDescent="0.35">
      <c r="A303" s="21">
        <v>299</v>
      </c>
      <c r="B303" s="22" t="s">
        <v>1082</v>
      </c>
      <c r="C303" s="14" t="s">
        <v>1096</v>
      </c>
      <c r="D303" s="23" t="s">
        <v>33</v>
      </c>
      <c r="E303" s="23" t="s">
        <v>33</v>
      </c>
      <c r="F303" s="23" t="s">
        <v>33</v>
      </c>
      <c r="G303" s="23" t="s">
        <v>35</v>
      </c>
      <c r="H303" s="23" t="s">
        <v>31</v>
      </c>
      <c r="I303" s="23" t="s">
        <v>35</v>
      </c>
      <c r="J303" s="23" t="s">
        <v>35</v>
      </c>
      <c r="K303" s="23" t="s">
        <v>33</v>
      </c>
      <c r="L303" s="23" t="s">
        <v>35</v>
      </c>
      <c r="M303" s="24">
        <f t="shared" si="20"/>
        <v>1</v>
      </c>
      <c r="N303" s="24">
        <f t="shared" si="21"/>
        <v>4</v>
      </c>
      <c r="O303" s="24">
        <f t="shared" si="22"/>
        <v>4</v>
      </c>
      <c r="P303" s="24">
        <f t="shared" si="23"/>
        <v>0</v>
      </c>
      <c r="Q303" s="25">
        <f t="shared" si="24"/>
        <v>0.33333333333333331</v>
      </c>
      <c r="R303" s="26" t="s">
        <v>1097</v>
      </c>
    </row>
    <row r="304" spans="1:18" ht="25.5" customHeight="1" x14ac:dyDescent="0.35">
      <c r="A304" s="21">
        <v>300</v>
      </c>
      <c r="B304" s="22" t="s">
        <v>1082</v>
      </c>
      <c r="C304" s="14" t="s">
        <v>1098</v>
      </c>
      <c r="D304" s="23" t="s">
        <v>35</v>
      </c>
      <c r="E304" s="23" t="s">
        <v>35</v>
      </c>
      <c r="F304" s="23" t="s">
        <v>35</v>
      </c>
      <c r="G304" s="23" t="s">
        <v>35</v>
      </c>
      <c r="H304" s="23" t="s">
        <v>35</v>
      </c>
      <c r="I304" s="23" t="s">
        <v>35</v>
      </c>
      <c r="J304" s="23" t="s">
        <v>35</v>
      </c>
      <c r="K304" s="23" t="s">
        <v>35</v>
      </c>
      <c r="L304" s="23" t="s">
        <v>35</v>
      </c>
      <c r="M304" s="24">
        <f t="shared" si="20"/>
        <v>0</v>
      </c>
      <c r="N304" s="24">
        <f t="shared" si="21"/>
        <v>0</v>
      </c>
      <c r="O304" s="24">
        <f t="shared" si="22"/>
        <v>9</v>
      </c>
      <c r="P304" s="24">
        <f t="shared" si="23"/>
        <v>0</v>
      </c>
      <c r="Q304" s="25">
        <f t="shared" si="24"/>
        <v>0</v>
      </c>
      <c r="R304" s="26" t="s">
        <v>1099</v>
      </c>
    </row>
    <row r="305" spans="1:18" ht="25.5" customHeight="1" x14ac:dyDescent="0.35">
      <c r="A305" s="21">
        <v>301</v>
      </c>
      <c r="B305" s="22" t="s">
        <v>1082</v>
      </c>
      <c r="C305" s="14" t="s">
        <v>1100</v>
      </c>
      <c r="D305" s="23" t="s">
        <v>35</v>
      </c>
      <c r="E305" s="23" t="s">
        <v>35</v>
      </c>
      <c r="F305" s="23" t="s">
        <v>35</v>
      </c>
      <c r="G305" s="23" t="s">
        <v>35</v>
      </c>
      <c r="H305" s="23" t="s">
        <v>35</v>
      </c>
      <c r="I305" s="23" t="s">
        <v>35</v>
      </c>
      <c r="J305" s="23" t="s">
        <v>35</v>
      </c>
      <c r="K305" s="23" t="s">
        <v>35</v>
      </c>
      <c r="L305" s="23" t="s">
        <v>35</v>
      </c>
      <c r="M305" s="24">
        <f t="shared" si="20"/>
        <v>0</v>
      </c>
      <c r="N305" s="24">
        <f t="shared" si="21"/>
        <v>0</v>
      </c>
      <c r="O305" s="24">
        <f t="shared" si="22"/>
        <v>9</v>
      </c>
      <c r="P305" s="24">
        <f t="shared" si="23"/>
        <v>0</v>
      </c>
      <c r="Q305" s="25">
        <f t="shared" si="24"/>
        <v>0</v>
      </c>
      <c r="R305" s="26" t="s">
        <v>1101</v>
      </c>
    </row>
    <row r="306" spans="1:18" ht="25.5" customHeight="1" x14ac:dyDescent="0.35">
      <c r="A306" s="21">
        <v>302</v>
      </c>
      <c r="B306" s="22" t="s">
        <v>1082</v>
      </c>
      <c r="C306" s="14" t="s">
        <v>1102</v>
      </c>
      <c r="D306" s="23" t="s">
        <v>35</v>
      </c>
      <c r="E306" s="23" t="s">
        <v>35</v>
      </c>
      <c r="F306" s="23" t="s">
        <v>35</v>
      </c>
      <c r="G306" s="23" t="s">
        <v>35</v>
      </c>
      <c r="H306" s="23" t="s">
        <v>33</v>
      </c>
      <c r="I306" s="23" t="s">
        <v>35</v>
      </c>
      <c r="J306" s="23" t="s">
        <v>35</v>
      </c>
      <c r="K306" s="23" t="s">
        <v>35</v>
      </c>
      <c r="L306" s="23" t="s">
        <v>35</v>
      </c>
      <c r="M306" s="24">
        <f t="shared" si="20"/>
        <v>0</v>
      </c>
      <c r="N306" s="24">
        <f t="shared" si="21"/>
        <v>1</v>
      </c>
      <c r="O306" s="24">
        <f t="shared" si="22"/>
        <v>8</v>
      </c>
      <c r="P306" s="24">
        <f t="shared" si="23"/>
        <v>0</v>
      </c>
      <c r="Q306" s="25">
        <f t="shared" si="24"/>
        <v>5.5555555555555552E-2</v>
      </c>
      <c r="R306" s="26" t="s">
        <v>1103</v>
      </c>
    </row>
    <row r="307" spans="1:18" ht="25.5" customHeight="1" x14ac:dyDescent="0.35">
      <c r="A307" s="21">
        <v>303</v>
      </c>
      <c r="B307" s="22" t="s">
        <v>1082</v>
      </c>
      <c r="C307" s="14" t="s">
        <v>1104</v>
      </c>
      <c r="D307" s="23" t="s">
        <v>33</v>
      </c>
      <c r="E307" s="23" t="s">
        <v>35</v>
      </c>
      <c r="F307" s="23" t="s">
        <v>35</v>
      </c>
      <c r="G307" s="23" t="s">
        <v>35</v>
      </c>
      <c r="H307" s="23" t="s">
        <v>35</v>
      </c>
      <c r="I307" s="23" t="s">
        <v>35</v>
      </c>
      <c r="J307" s="23" t="s">
        <v>35</v>
      </c>
      <c r="K307" s="23" t="s">
        <v>35</v>
      </c>
      <c r="L307" s="23" t="s">
        <v>35</v>
      </c>
      <c r="M307" s="24">
        <f t="shared" si="20"/>
        <v>0</v>
      </c>
      <c r="N307" s="24">
        <f t="shared" si="21"/>
        <v>1</v>
      </c>
      <c r="O307" s="24">
        <f t="shared" si="22"/>
        <v>8</v>
      </c>
      <c r="P307" s="24">
        <f t="shared" si="23"/>
        <v>0</v>
      </c>
      <c r="Q307" s="25">
        <f t="shared" si="24"/>
        <v>5.5555555555555552E-2</v>
      </c>
      <c r="R307" s="26" t="s">
        <v>1105</v>
      </c>
    </row>
    <row r="308" spans="1:18" ht="25.5" customHeight="1" x14ac:dyDescent="0.35">
      <c r="A308" s="21">
        <v>304</v>
      </c>
      <c r="B308" s="22" t="s">
        <v>1082</v>
      </c>
      <c r="C308" s="14" t="s">
        <v>1106</v>
      </c>
      <c r="D308" s="23" t="s">
        <v>31</v>
      </c>
      <c r="E308" s="23" t="s">
        <v>33</v>
      </c>
      <c r="F308" s="23" t="s">
        <v>31</v>
      </c>
      <c r="G308" s="23" t="s">
        <v>31</v>
      </c>
      <c r="H308" s="23" t="s">
        <v>33</v>
      </c>
      <c r="I308" s="23" t="s">
        <v>35</v>
      </c>
      <c r="J308" s="23" t="s">
        <v>33</v>
      </c>
      <c r="K308" s="23" t="s">
        <v>31</v>
      </c>
      <c r="L308" s="23" t="s">
        <v>33</v>
      </c>
      <c r="M308" s="24">
        <f t="shared" si="20"/>
        <v>4</v>
      </c>
      <c r="N308" s="24">
        <f t="shared" si="21"/>
        <v>4</v>
      </c>
      <c r="O308" s="24">
        <f t="shared" si="22"/>
        <v>1</v>
      </c>
      <c r="P308" s="24">
        <f t="shared" si="23"/>
        <v>0</v>
      </c>
      <c r="Q308" s="25">
        <f t="shared" si="24"/>
        <v>0.66666666666666663</v>
      </c>
      <c r="R308" s="26"/>
    </row>
    <row r="309" spans="1:18" ht="25.5" customHeight="1" x14ac:dyDescent="0.35">
      <c r="A309" s="21">
        <v>305</v>
      </c>
      <c r="B309" s="22" t="s">
        <v>1107</v>
      </c>
      <c r="C309" s="14" t="s">
        <v>1108</v>
      </c>
      <c r="D309" s="23" t="s">
        <v>31</v>
      </c>
      <c r="E309" s="23" t="s">
        <v>31</v>
      </c>
      <c r="F309" s="23" t="s">
        <v>31</v>
      </c>
      <c r="G309" s="23" t="s">
        <v>31</v>
      </c>
      <c r="H309" s="23" t="s">
        <v>31</v>
      </c>
      <c r="I309" s="23" t="s">
        <v>31</v>
      </c>
      <c r="J309" s="23" t="s">
        <v>31</v>
      </c>
      <c r="K309" s="23" t="s">
        <v>31</v>
      </c>
      <c r="L309" s="23" t="s">
        <v>31</v>
      </c>
      <c r="M309" s="24">
        <f t="shared" si="20"/>
        <v>9</v>
      </c>
      <c r="N309" s="24">
        <f t="shared" si="21"/>
        <v>0</v>
      </c>
      <c r="O309" s="24">
        <f t="shared" si="22"/>
        <v>0</v>
      </c>
      <c r="P309" s="24">
        <f t="shared" si="23"/>
        <v>0</v>
      </c>
      <c r="Q309" s="25">
        <f t="shared" si="24"/>
        <v>1</v>
      </c>
      <c r="R309" s="26" t="s">
        <v>1109</v>
      </c>
    </row>
    <row r="310" spans="1:18" ht="25.5" customHeight="1" x14ac:dyDescent="0.35">
      <c r="A310" s="21">
        <v>306</v>
      </c>
      <c r="B310" s="22" t="s">
        <v>1107</v>
      </c>
      <c r="C310" s="14" t="s">
        <v>1110</v>
      </c>
      <c r="D310" s="23" t="s">
        <v>33</v>
      </c>
      <c r="E310" s="23" t="s">
        <v>31</v>
      </c>
      <c r="F310" s="23" t="s">
        <v>35</v>
      </c>
      <c r="G310" s="23" t="s">
        <v>31</v>
      </c>
      <c r="H310" s="23" t="s">
        <v>35</v>
      </c>
      <c r="I310" s="23" t="s">
        <v>31</v>
      </c>
      <c r="J310" s="23" t="s">
        <v>31</v>
      </c>
      <c r="K310" s="23" t="s">
        <v>31</v>
      </c>
      <c r="L310" s="23" t="s">
        <v>33</v>
      </c>
      <c r="M310" s="24">
        <f t="shared" si="20"/>
        <v>5</v>
      </c>
      <c r="N310" s="24">
        <f t="shared" si="21"/>
        <v>2</v>
      </c>
      <c r="O310" s="24">
        <f t="shared" si="22"/>
        <v>2</v>
      </c>
      <c r="P310" s="24">
        <f t="shared" si="23"/>
        <v>0</v>
      </c>
      <c r="Q310" s="25">
        <f t="shared" si="24"/>
        <v>0.66666666666666663</v>
      </c>
      <c r="R310" s="26"/>
    </row>
    <row r="311" spans="1:18" ht="25.5" customHeight="1" x14ac:dyDescent="0.35">
      <c r="A311" s="21">
        <v>307</v>
      </c>
      <c r="B311" s="22" t="s">
        <v>1107</v>
      </c>
      <c r="C311" s="14" t="s">
        <v>1111</v>
      </c>
      <c r="D311" s="23" t="s">
        <v>31</v>
      </c>
      <c r="E311" s="23" t="s">
        <v>31</v>
      </c>
      <c r="F311" s="23" t="s">
        <v>33</v>
      </c>
      <c r="G311" s="23" t="s">
        <v>31</v>
      </c>
      <c r="H311" s="23" t="s">
        <v>33</v>
      </c>
      <c r="I311" s="23" t="s">
        <v>31</v>
      </c>
      <c r="J311" s="23" t="s">
        <v>31</v>
      </c>
      <c r="K311" s="23" t="s">
        <v>31</v>
      </c>
      <c r="L311" s="23" t="s">
        <v>31</v>
      </c>
      <c r="M311" s="24">
        <f t="shared" si="20"/>
        <v>7</v>
      </c>
      <c r="N311" s="24">
        <f t="shared" si="21"/>
        <v>2</v>
      </c>
      <c r="O311" s="24">
        <f t="shared" si="22"/>
        <v>0</v>
      </c>
      <c r="P311" s="24">
        <f t="shared" si="23"/>
        <v>0</v>
      </c>
      <c r="Q311" s="25">
        <f t="shared" si="24"/>
        <v>0.88888888888888884</v>
      </c>
      <c r="R311" s="26"/>
    </row>
    <row r="312" spans="1:18" ht="25.5" customHeight="1" x14ac:dyDescent="0.35">
      <c r="A312" s="21">
        <v>308</v>
      </c>
      <c r="B312" s="22" t="s">
        <v>1107</v>
      </c>
      <c r="C312" s="14" t="s">
        <v>1112</v>
      </c>
      <c r="D312" s="23" t="s">
        <v>35</v>
      </c>
      <c r="E312" s="23" t="s">
        <v>31</v>
      </c>
      <c r="F312" s="23" t="s">
        <v>579</v>
      </c>
      <c r="G312" s="23" t="s">
        <v>33</v>
      </c>
      <c r="H312" s="23" t="s">
        <v>35</v>
      </c>
      <c r="I312" s="23" t="s">
        <v>31</v>
      </c>
      <c r="J312" s="23" t="s">
        <v>33</v>
      </c>
      <c r="K312" s="23" t="s">
        <v>35</v>
      </c>
      <c r="L312" s="23" t="s">
        <v>33</v>
      </c>
      <c r="M312" s="24">
        <f t="shared" si="20"/>
        <v>2</v>
      </c>
      <c r="N312" s="24">
        <f t="shared" si="21"/>
        <v>4</v>
      </c>
      <c r="O312" s="24">
        <f t="shared" si="22"/>
        <v>3</v>
      </c>
      <c r="P312" s="24">
        <f t="shared" si="23"/>
        <v>0</v>
      </c>
      <c r="Q312" s="25">
        <f t="shared" si="24"/>
        <v>0.44444444444444442</v>
      </c>
      <c r="R312" s="26" t="s">
        <v>1113</v>
      </c>
    </row>
    <row r="313" spans="1:18" ht="25.5" customHeight="1" x14ac:dyDescent="0.35">
      <c r="A313" s="21">
        <v>309</v>
      </c>
      <c r="B313" s="22" t="s">
        <v>1107</v>
      </c>
      <c r="C313" s="14" t="s">
        <v>1114</v>
      </c>
      <c r="D313" s="23" t="s">
        <v>35</v>
      </c>
      <c r="E313" s="23" t="s">
        <v>33</v>
      </c>
      <c r="F313" s="23" t="s">
        <v>35</v>
      </c>
      <c r="G313" s="23" t="s">
        <v>33</v>
      </c>
      <c r="H313" s="23" t="s">
        <v>35</v>
      </c>
      <c r="I313" s="23" t="s">
        <v>33</v>
      </c>
      <c r="J313" s="23" t="s">
        <v>33</v>
      </c>
      <c r="K313" s="23" t="s">
        <v>35</v>
      </c>
      <c r="L313" s="23" t="s">
        <v>35</v>
      </c>
      <c r="M313" s="24">
        <f t="shared" si="20"/>
        <v>0</v>
      </c>
      <c r="N313" s="24">
        <f t="shared" si="21"/>
        <v>4</v>
      </c>
      <c r="O313" s="24">
        <f t="shared" si="22"/>
        <v>5</v>
      </c>
      <c r="P313" s="24">
        <f t="shared" si="23"/>
        <v>0</v>
      </c>
      <c r="Q313" s="25">
        <f t="shared" si="24"/>
        <v>0.22222222222222221</v>
      </c>
      <c r="R313" s="26" t="s">
        <v>1115</v>
      </c>
    </row>
    <row r="314" spans="1:18" ht="25.5" customHeight="1" x14ac:dyDescent="0.35">
      <c r="A314" s="21">
        <v>310</v>
      </c>
      <c r="B314" s="22" t="s">
        <v>1107</v>
      </c>
      <c r="C314" s="14" t="s">
        <v>1116</v>
      </c>
      <c r="D314" s="23" t="s">
        <v>35</v>
      </c>
      <c r="E314" s="23" t="s">
        <v>35</v>
      </c>
      <c r="F314" s="23" t="s">
        <v>35</v>
      </c>
      <c r="G314" s="23" t="s">
        <v>35</v>
      </c>
      <c r="H314" s="23" t="s">
        <v>35</v>
      </c>
      <c r="I314" s="23" t="s">
        <v>35</v>
      </c>
      <c r="J314" s="23" t="s">
        <v>35</v>
      </c>
      <c r="K314" s="23" t="s">
        <v>35</v>
      </c>
      <c r="L314" s="23" t="s">
        <v>35</v>
      </c>
      <c r="M314" s="24">
        <f t="shared" si="20"/>
        <v>0</v>
      </c>
      <c r="N314" s="24">
        <f t="shared" si="21"/>
        <v>0</v>
      </c>
      <c r="O314" s="24">
        <f t="shared" si="22"/>
        <v>9</v>
      </c>
      <c r="P314" s="24">
        <f t="shared" si="23"/>
        <v>0</v>
      </c>
      <c r="Q314" s="25">
        <f t="shared" si="24"/>
        <v>0</v>
      </c>
      <c r="R314" s="26" t="s">
        <v>1117</v>
      </c>
    </row>
    <row r="315" spans="1:18" ht="25.5" customHeight="1" x14ac:dyDescent="0.35">
      <c r="A315" s="21">
        <v>311</v>
      </c>
      <c r="B315" s="22" t="s">
        <v>1107</v>
      </c>
      <c r="C315" s="14" t="s">
        <v>1118</v>
      </c>
      <c r="D315" s="23" t="s">
        <v>33</v>
      </c>
      <c r="E315" s="23" t="s">
        <v>31</v>
      </c>
      <c r="F315" s="23" t="s">
        <v>832</v>
      </c>
      <c r="G315" s="23" t="s">
        <v>35</v>
      </c>
      <c r="H315" s="23" t="s">
        <v>31</v>
      </c>
      <c r="I315" s="23" t="s">
        <v>35</v>
      </c>
      <c r="J315" s="23" t="s">
        <v>33</v>
      </c>
      <c r="K315" s="23" t="s">
        <v>31</v>
      </c>
      <c r="L315" s="23" t="s">
        <v>35</v>
      </c>
      <c r="M315" s="24">
        <f t="shared" si="20"/>
        <v>4</v>
      </c>
      <c r="N315" s="24">
        <f t="shared" si="21"/>
        <v>2</v>
      </c>
      <c r="O315" s="24">
        <f t="shared" si="22"/>
        <v>3</v>
      </c>
      <c r="P315" s="24">
        <f t="shared" si="23"/>
        <v>0</v>
      </c>
      <c r="Q315" s="25">
        <f t="shared" si="24"/>
        <v>0.55555555555555558</v>
      </c>
      <c r="R315" s="26" t="s">
        <v>1119</v>
      </c>
    </row>
    <row r="316" spans="1:18" ht="25.5" customHeight="1" x14ac:dyDescent="0.35">
      <c r="A316" s="21">
        <v>312</v>
      </c>
      <c r="B316" s="22" t="s">
        <v>1107</v>
      </c>
      <c r="C316" s="14" t="s">
        <v>1120</v>
      </c>
      <c r="D316" s="23" t="s">
        <v>33</v>
      </c>
      <c r="E316" s="23" t="s">
        <v>31</v>
      </c>
      <c r="F316" s="23" t="s">
        <v>33</v>
      </c>
      <c r="G316" s="23" t="s">
        <v>31</v>
      </c>
      <c r="H316" s="23" t="s">
        <v>35</v>
      </c>
      <c r="I316" s="23" t="s">
        <v>33</v>
      </c>
      <c r="J316" s="23" t="s">
        <v>31</v>
      </c>
      <c r="K316" s="23" t="s">
        <v>33</v>
      </c>
      <c r="L316" s="23" t="s">
        <v>33</v>
      </c>
      <c r="M316" s="24">
        <f t="shared" si="20"/>
        <v>3</v>
      </c>
      <c r="N316" s="24">
        <f t="shared" si="21"/>
        <v>5</v>
      </c>
      <c r="O316" s="24">
        <f t="shared" si="22"/>
        <v>1</v>
      </c>
      <c r="P316" s="24">
        <f t="shared" si="23"/>
        <v>0</v>
      </c>
      <c r="Q316" s="25">
        <f t="shared" si="24"/>
        <v>0.61111111111111116</v>
      </c>
      <c r="R316" s="26" t="s">
        <v>1121</v>
      </c>
    </row>
    <row r="317" spans="1:18" ht="25.5" customHeight="1" x14ac:dyDescent="0.35">
      <c r="A317" s="21">
        <v>313</v>
      </c>
      <c r="B317" s="22" t="s">
        <v>1107</v>
      </c>
      <c r="C317" s="14" t="s">
        <v>1122</v>
      </c>
      <c r="D317" s="23" t="s">
        <v>35</v>
      </c>
      <c r="E317" s="23" t="s">
        <v>33</v>
      </c>
      <c r="F317" s="23" t="s">
        <v>35</v>
      </c>
      <c r="G317" s="23" t="s">
        <v>35</v>
      </c>
      <c r="H317" s="23" t="s">
        <v>35</v>
      </c>
      <c r="I317" s="23" t="s">
        <v>35</v>
      </c>
      <c r="J317" s="23" t="s">
        <v>35</v>
      </c>
      <c r="K317" s="23" t="s">
        <v>35</v>
      </c>
      <c r="L317" s="23" t="s">
        <v>35</v>
      </c>
      <c r="M317" s="24">
        <f t="shared" si="20"/>
        <v>0</v>
      </c>
      <c r="N317" s="24">
        <f t="shared" si="21"/>
        <v>1</v>
      </c>
      <c r="O317" s="24">
        <f t="shared" si="22"/>
        <v>8</v>
      </c>
      <c r="P317" s="24">
        <f t="shared" si="23"/>
        <v>0</v>
      </c>
      <c r="Q317" s="25">
        <f t="shared" si="24"/>
        <v>5.5555555555555552E-2</v>
      </c>
      <c r="R317" s="26" t="s">
        <v>798</v>
      </c>
    </row>
    <row r="318" spans="1:18" ht="25.5" customHeight="1" x14ac:dyDescent="0.35">
      <c r="A318" s="21">
        <v>314</v>
      </c>
      <c r="B318" s="22" t="s">
        <v>1107</v>
      </c>
      <c r="C318" s="14" t="s">
        <v>1123</v>
      </c>
      <c r="D318" s="23" t="s">
        <v>35</v>
      </c>
      <c r="E318" s="23" t="s">
        <v>35</v>
      </c>
      <c r="F318" s="23" t="s">
        <v>35</v>
      </c>
      <c r="G318" s="23" t="s">
        <v>35</v>
      </c>
      <c r="H318" s="23" t="s">
        <v>35</v>
      </c>
      <c r="I318" s="23" t="s">
        <v>35</v>
      </c>
      <c r="J318" s="23" t="s">
        <v>35</v>
      </c>
      <c r="K318" s="23" t="s">
        <v>35</v>
      </c>
      <c r="L318" s="23" t="s">
        <v>35</v>
      </c>
      <c r="M318" s="24">
        <f t="shared" si="20"/>
        <v>0</v>
      </c>
      <c r="N318" s="24">
        <f t="shared" si="21"/>
        <v>0</v>
      </c>
      <c r="O318" s="24">
        <f t="shared" si="22"/>
        <v>9</v>
      </c>
      <c r="P318" s="24">
        <f t="shared" si="23"/>
        <v>0</v>
      </c>
      <c r="Q318" s="25">
        <f t="shared" si="24"/>
        <v>0</v>
      </c>
      <c r="R318" s="26" t="s">
        <v>798</v>
      </c>
    </row>
    <row r="319" spans="1:18" ht="25.5" customHeight="1" x14ac:dyDescent="0.35">
      <c r="A319" s="21">
        <v>315</v>
      </c>
      <c r="B319" s="22" t="s">
        <v>1107</v>
      </c>
      <c r="C319" s="14" t="s">
        <v>1124</v>
      </c>
      <c r="D319" s="23" t="s">
        <v>35</v>
      </c>
      <c r="E319" s="23" t="s">
        <v>33</v>
      </c>
      <c r="F319" s="23" t="s">
        <v>579</v>
      </c>
      <c r="G319" s="23" t="s">
        <v>31</v>
      </c>
      <c r="H319" s="23" t="s">
        <v>35</v>
      </c>
      <c r="I319" s="23" t="s">
        <v>33</v>
      </c>
      <c r="J319" s="23" t="s">
        <v>35</v>
      </c>
      <c r="K319" s="23" t="s">
        <v>35</v>
      </c>
      <c r="L319" s="23" t="s">
        <v>33</v>
      </c>
      <c r="M319" s="24">
        <f t="shared" si="20"/>
        <v>1</v>
      </c>
      <c r="N319" s="24">
        <f t="shared" si="21"/>
        <v>4</v>
      </c>
      <c r="O319" s="24">
        <f t="shared" si="22"/>
        <v>4</v>
      </c>
      <c r="P319" s="24">
        <f t="shared" si="23"/>
        <v>0</v>
      </c>
      <c r="Q319" s="25">
        <f t="shared" si="24"/>
        <v>0.33333333333333331</v>
      </c>
      <c r="R319" s="26" t="s">
        <v>1125</v>
      </c>
    </row>
    <row r="320" spans="1:18" ht="25.5" customHeight="1" x14ac:dyDescent="0.35">
      <c r="A320" s="21">
        <v>316</v>
      </c>
      <c r="B320" s="22" t="s">
        <v>1107</v>
      </c>
      <c r="C320" s="14" t="s">
        <v>1126</v>
      </c>
      <c r="D320" s="23" t="s">
        <v>35</v>
      </c>
      <c r="E320" s="23" t="s">
        <v>35</v>
      </c>
      <c r="F320" s="23" t="s">
        <v>35</v>
      </c>
      <c r="G320" s="23" t="s">
        <v>33</v>
      </c>
      <c r="H320" s="23" t="s">
        <v>31</v>
      </c>
      <c r="I320" s="23" t="s">
        <v>35</v>
      </c>
      <c r="J320" s="23" t="s">
        <v>35</v>
      </c>
      <c r="K320" s="23" t="s">
        <v>31</v>
      </c>
      <c r="L320" s="23" t="s">
        <v>35</v>
      </c>
      <c r="M320" s="24">
        <f t="shared" si="20"/>
        <v>2</v>
      </c>
      <c r="N320" s="24">
        <f t="shared" si="21"/>
        <v>1</v>
      </c>
      <c r="O320" s="24">
        <f t="shared" si="22"/>
        <v>6</v>
      </c>
      <c r="P320" s="24">
        <f t="shared" si="23"/>
        <v>0</v>
      </c>
      <c r="Q320" s="25">
        <f t="shared" si="24"/>
        <v>0.27777777777777779</v>
      </c>
      <c r="R320" s="26" t="s">
        <v>1127</v>
      </c>
    </row>
    <row r="321" spans="1:18" ht="25.5" customHeight="1" x14ac:dyDescent="0.35">
      <c r="A321" s="21">
        <v>317</v>
      </c>
      <c r="B321" s="22" t="s">
        <v>1128</v>
      </c>
      <c r="C321" s="14" t="s">
        <v>1129</v>
      </c>
      <c r="D321" s="23" t="s">
        <v>31</v>
      </c>
      <c r="E321" s="23" t="s">
        <v>1130</v>
      </c>
      <c r="F321" s="23" t="s">
        <v>31</v>
      </c>
      <c r="G321" s="23" t="s">
        <v>37</v>
      </c>
      <c r="H321" s="23" t="s">
        <v>35</v>
      </c>
      <c r="I321" s="23" t="s">
        <v>31</v>
      </c>
      <c r="J321" s="23" t="s">
        <v>31</v>
      </c>
      <c r="K321" s="23" t="s">
        <v>31</v>
      </c>
      <c r="L321" s="23" t="s">
        <v>31</v>
      </c>
      <c r="M321" s="24">
        <f t="shared" si="20"/>
        <v>7</v>
      </c>
      <c r="N321" s="24">
        <f t="shared" si="21"/>
        <v>0</v>
      </c>
      <c r="O321" s="24">
        <f t="shared" si="22"/>
        <v>1</v>
      </c>
      <c r="P321" s="24">
        <f t="shared" si="23"/>
        <v>1</v>
      </c>
      <c r="Q321" s="25">
        <f t="shared" si="24"/>
        <v>0.77777777777777779</v>
      </c>
      <c r="R321" s="26" t="s">
        <v>1131</v>
      </c>
    </row>
    <row r="322" spans="1:18" ht="25.5" customHeight="1" x14ac:dyDescent="0.35">
      <c r="A322" s="21">
        <v>318</v>
      </c>
      <c r="B322" s="22" t="s">
        <v>1128</v>
      </c>
      <c r="C322" s="14" t="s">
        <v>1132</v>
      </c>
      <c r="D322" s="23" t="s">
        <v>35</v>
      </c>
      <c r="E322" s="23" t="s">
        <v>35</v>
      </c>
      <c r="F322" s="23" t="s">
        <v>35</v>
      </c>
      <c r="G322" s="23" t="s">
        <v>35</v>
      </c>
      <c r="H322" s="23" t="s">
        <v>31</v>
      </c>
      <c r="I322" s="23" t="s">
        <v>35</v>
      </c>
      <c r="J322" s="23" t="s">
        <v>35</v>
      </c>
      <c r="K322" s="23" t="s">
        <v>35</v>
      </c>
      <c r="L322" s="23" t="s">
        <v>35</v>
      </c>
      <c r="M322" s="24">
        <f t="shared" si="20"/>
        <v>1</v>
      </c>
      <c r="N322" s="24">
        <f t="shared" si="21"/>
        <v>0</v>
      </c>
      <c r="O322" s="24">
        <f t="shared" si="22"/>
        <v>8</v>
      </c>
      <c r="P322" s="24">
        <f t="shared" si="23"/>
        <v>0</v>
      </c>
      <c r="Q322" s="25">
        <f t="shared" si="24"/>
        <v>0.1111111111111111</v>
      </c>
      <c r="R322" s="26" t="s">
        <v>1133</v>
      </c>
    </row>
    <row r="323" spans="1:18" ht="25.5" customHeight="1" x14ac:dyDescent="0.35">
      <c r="A323" s="21">
        <v>319</v>
      </c>
      <c r="B323" s="22" t="s">
        <v>1128</v>
      </c>
      <c r="C323" s="14" t="s">
        <v>1134</v>
      </c>
      <c r="D323" s="23" t="s">
        <v>31</v>
      </c>
      <c r="E323" s="23" t="s">
        <v>31</v>
      </c>
      <c r="F323" s="23" t="s">
        <v>31</v>
      </c>
      <c r="G323" s="23" t="s">
        <v>31</v>
      </c>
      <c r="H323" s="23" t="s">
        <v>35</v>
      </c>
      <c r="I323" s="23" t="s">
        <v>37</v>
      </c>
      <c r="J323" s="23" t="s">
        <v>31</v>
      </c>
      <c r="K323" s="23" t="s">
        <v>31</v>
      </c>
      <c r="L323" s="23" t="s">
        <v>31</v>
      </c>
      <c r="M323" s="24">
        <f t="shared" si="20"/>
        <v>7</v>
      </c>
      <c r="N323" s="24">
        <f t="shared" si="21"/>
        <v>0</v>
      </c>
      <c r="O323" s="24">
        <f t="shared" si="22"/>
        <v>1</v>
      </c>
      <c r="P323" s="24">
        <f t="shared" si="23"/>
        <v>1</v>
      </c>
      <c r="Q323" s="25">
        <f t="shared" si="24"/>
        <v>0.77777777777777779</v>
      </c>
      <c r="R323" s="26" t="s">
        <v>1135</v>
      </c>
    </row>
    <row r="324" spans="1:18" ht="25.5" customHeight="1" x14ac:dyDescent="0.35">
      <c r="A324" s="21">
        <v>320</v>
      </c>
      <c r="B324" s="22" t="s">
        <v>1128</v>
      </c>
      <c r="C324" s="14" t="s">
        <v>1136</v>
      </c>
      <c r="D324" s="23" t="s">
        <v>31</v>
      </c>
      <c r="E324" s="23" t="s">
        <v>31</v>
      </c>
      <c r="F324" s="23" t="s">
        <v>31</v>
      </c>
      <c r="G324" s="23" t="s">
        <v>31</v>
      </c>
      <c r="H324" s="23" t="s">
        <v>35</v>
      </c>
      <c r="I324" s="23" t="s">
        <v>37</v>
      </c>
      <c r="J324" s="23" t="s">
        <v>31</v>
      </c>
      <c r="K324" s="23" t="s">
        <v>31</v>
      </c>
      <c r="L324" s="23" t="s">
        <v>31</v>
      </c>
      <c r="M324" s="24">
        <f t="shared" si="20"/>
        <v>7</v>
      </c>
      <c r="N324" s="24">
        <f t="shared" si="21"/>
        <v>0</v>
      </c>
      <c r="O324" s="24">
        <f t="shared" si="22"/>
        <v>1</v>
      </c>
      <c r="P324" s="24">
        <f t="shared" si="23"/>
        <v>1</v>
      </c>
      <c r="Q324" s="25">
        <f t="shared" si="24"/>
        <v>0.77777777777777779</v>
      </c>
      <c r="R324" s="26" t="s">
        <v>1137</v>
      </c>
    </row>
    <row r="325" spans="1:18" ht="25.5" customHeight="1" x14ac:dyDescent="0.35">
      <c r="A325" s="21">
        <v>321</v>
      </c>
      <c r="B325" s="22" t="s">
        <v>1128</v>
      </c>
      <c r="C325" s="14" t="s">
        <v>1138</v>
      </c>
      <c r="D325" s="23" t="s">
        <v>35</v>
      </c>
      <c r="E325" s="23" t="s">
        <v>35</v>
      </c>
      <c r="F325" s="23" t="s">
        <v>35</v>
      </c>
      <c r="G325" s="23" t="s">
        <v>35</v>
      </c>
      <c r="H325" s="23" t="s">
        <v>35</v>
      </c>
      <c r="I325" s="23" t="s">
        <v>35</v>
      </c>
      <c r="J325" s="23" t="s">
        <v>35</v>
      </c>
      <c r="K325" s="23" t="s">
        <v>31</v>
      </c>
      <c r="L325" s="23" t="s">
        <v>35</v>
      </c>
      <c r="M325" s="24">
        <f t="shared" ref="M325:M388" si="25">SUMPRODUCT(--ISNUMBER(SEARCH("✓",D325:L325)))</f>
        <v>1</v>
      </c>
      <c r="N325" s="24">
        <f t="shared" ref="N325:N386" si="26">SUMPRODUCT(--ISNUMBER(SEARCH("◐",D325:L325)))</f>
        <v>0</v>
      </c>
      <c r="O325" s="24">
        <f t="shared" ref="O325:O386" si="27">SUMPRODUCT(--ISNUMBER(SEARCH("—",D325:L325)))</f>
        <v>8</v>
      </c>
      <c r="P325" s="24">
        <f t="shared" ref="P325:P388" si="28">9-M325-N325-O325</f>
        <v>0</v>
      </c>
      <c r="Q325" s="25">
        <f t="shared" ref="Q325:Q386" si="29">(M325+0.5*N325)/9</f>
        <v>0.1111111111111111</v>
      </c>
      <c r="R325" s="26" t="s">
        <v>1139</v>
      </c>
    </row>
    <row r="326" spans="1:18" ht="25.5" customHeight="1" x14ac:dyDescent="0.35">
      <c r="A326" s="21">
        <v>322</v>
      </c>
      <c r="B326" s="22" t="s">
        <v>1128</v>
      </c>
      <c r="C326" s="14" t="s">
        <v>1140</v>
      </c>
      <c r="D326" s="23" t="s">
        <v>35</v>
      </c>
      <c r="E326" s="23" t="s">
        <v>31</v>
      </c>
      <c r="F326" s="23" t="s">
        <v>35</v>
      </c>
      <c r="G326" s="23" t="s">
        <v>35</v>
      </c>
      <c r="H326" s="23" t="s">
        <v>35</v>
      </c>
      <c r="I326" s="23" t="s">
        <v>35</v>
      </c>
      <c r="J326" s="23" t="s">
        <v>31</v>
      </c>
      <c r="K326" s="23" t="s">
        <v>31</v>
      </c>
      <c r="L326" s="23" t="s">
        <v>35</v>
      </c>
      <c r="M326" s="24">
        <f t="shared" si="25"/>
        <v>3</v>
      </c>
      <c r="N326" s="24">
        <f t="shared" si="26"/>
        <v>0</v>
      </c>
      <c r="O326" s="24">
        <f t="shared" si="27"/>
        <v>6</v>
      </c>
      <c r="P326" s="24">
        <f t="shared" si="28"/>
        <v>0</v>
      </c>
      <c r="Q326" s="25">
        <f t="shared" si="29"/>
        <v>0.33333333333333331</v>
      </c>
      <c r="R326" s="26" t="s">
        <v>1141</v>
      </c>
    </row>
    <row r="327" spans="1:18" ht="25.5" customHeight="1" x14ac:dyDescent="0.35">
      <c r="A327" s="21">
        <v>323</v>
      </c>
      <c r="B327" s="22" t="s">
        <v>1128</v>
      </c>
      <c r="C327" s="14" t="s">
        <v>1142</v>
      </c>
      <c r="D327" s="23" t="s">
        <v>35</v>
      </c>
      <c r="E327" s="23" t="s">
        <v>31</v>
      </c>
      <c r="F327" s="23" t="s">
        <v>35</v>
      </c>
      <c r="G327" s="23" t="s">
        <v>35</v>
      </c>
      <c r="H327" s="23" t="s">
        <v>35</v>
      </c>
      <c r="I327" s="23" t="s">
        <v>35</v>
      </c>
      <c r="J327" s="23" t="s">
        <v>35</v>
      </c>
      <c r="K327" s="23" t="s">
        <v>35</v>
      </c>
      <c r="L327" s="23" t="s">
        <v>35</v>
      </c>
      <c r="M327" s="24">
        <f t="shared" si="25"/>
        <v>1</v>
      </c>
      <c r="N327" s="24">
        <f t="shared" si="26"/>
        <v>0</v>
      </c>
      <c r="O327" s="24">
        <f t="shared" si="27"/>
        <v>8</v>
      </c>
      <c r="P327" s="24">
        <f t="shared" si="28"/>
        <v>0</v>
      </c>
      <c r="Q327" s="25">
        <f t="shared" si="29"/>
        <v>0.1111111111111111</v>
      </c>
      <c r="R327" s="26" t="s">
        <v>1143</v>
      </c>
    </row>
    <row r="328" spans="1:18" ht="25.5" customHeight="1" x14ac:dyDescent="0.35">
      <c r="A328" s="21">
        <v>324</v>
      </c>
      <c r="B328" s="22" t="s">
        <v>1128</v>
      </c>
      <c r="C328" s="14" t="s">
        <v>1144</v>
      </c>
      <c r="D328" s="23" t="s">
        <v>35</v>
      </c>
      <c r="E328" s="23" t="s">
        <v>35</v>
      </c>
      <c r="F328" s="23" t="s">
        <v>35</v>
      </c>
      <c r="G328" s="23" t="s">
        <v>35</v>
      </c>
      <c r="H328" s="23" t="s">
        <v>35</v>
      </c>
      <c r="I328" s="23" t="s">
        <v>35</v>
      </c>
      <c r="J328" s="23" t="s">
        <v>31</v>
      </c>
      <c r="K328" s="23" t="s">
        <v>35</v>
      </c>
      <c r="L328" s="23" t="s">
        <v>35</v>
      </c>
      <c r="M328" s="24">
        <f t="shared" si="25"/>
        <v>1</v>
      </c>
      <c r="N328" s="24">
        <f t="shared" si="26"/>
        <v>0</v>
      </c>
      <c r="O328" s="24">
        <f t="shared" si="27"/>
        <v>8</v>
      </c>
      <c r="P328" s="24">
        <f t="shared" si="28"/>
        <v>0</v>
      </c>
      <c r="Q328" s="25">
        <f t="shared" si="29"/>
        <v>0.1111111111111111</v>
      </c>
      <c r="R328" s="26" t="s">
        <v>1145</v>
      </c>
    </row>
    <row r="329" spans="1:18" ht="25.5" customHeight="1" x14ac:dyDescent="0.35">
      <c r="A329" s="21">
        <v>325</v>
      </c>
      <c r="B329" s="22" t="s">
        <v>1128</v>
      </c>
      <c r="C329" s="14" t="s">
        <v>1146</v>
      </c>
      <c r="D329" s="23" t="s">
        <v>31</v>
      </c>
      <c r="E329" s="23" t="s">
        <v>31</v>
      </c>
      <c r="F329" s="23" t="s">
        <v>33</v>
      </c>
      <c r="G329" s="23" t="s">
        <v>33</v>
      </c>
      <c r="H329" s="23" t="s">
        <v>35</v>
      </c>
      <c r="I329" s="23" t="s">
        <v>31</v>
      </c>
      <c r="J329" s="23" t="s">
        <v>31</v>
      </c>
      <c r="K329" s="23" t="s">
        <v>31</v>
      </c>
      <c r="L329" s="23" t="s">
        <v>33</v>
      </c>
      <c r="M329" s="24">
        <f t="shared" si="25"/>
        <v>5</v>
      </c>
      <c r="N329" s="24">
        <f t="shared" si="26"/>
        <v>3</v>
      </c>
      <c r="O329" s="24">
        <f t="shared" si="27"/>
        <v>1</v>
      </c>
      <c r="P329" s="24">
        <f t="shared" si="28"/>
        <v>0</v>
      </c>
      <c r="Q329" s="25">
        <f t="shared" si="29"/>
        <v>0.72222222222222221</v>
      </c>
      <c r="R329" s="26" t="s">
        <v>1147</v>
      </c>
    </row>
    <row r="330" spans="1:18" ht="25.5" customHeight="1" x14ac:dyDescent="0.35">
      <c r="A330" s="21">
        <v>326</v>
      </c>
      <c r="B330" s="22" t="s">
        <v>1128</v>
      </c>
      <c r="C330" s="14" t="s">
        <v>1148</v>
      </c>
      <c r="D330" s="23" t="s">
        <v>35</v>
      </c>
      <c r="E330" s="23" t="s">
        <v>31</v>
      </c>
      <c r="F330" s="23" t="s">
        <v>35</v>
      </c>
      <c r="G330" s="23" t="s">
        <v>35</v>
      </c>
      <c r="H330" s="23" t="s">
        <v>35</v>
      </c>
      <c r="I330" s="23" t="s">
        <v>35</v>
      </c>
      <c r="J330" s="23" t="s">
        <v>31</v>
      </c>
      <c r="K330" s="23" t="s">
        <v>31</v>
      </c>
      <c r="L330" s="23" t="s">
        <v>35</v>
      </c>
      <c r="M330" s="24">
        <f t="shared" si="25"/>
        <v>3</v>
      </c>
      <c r="N330" s="24">
        <f t="shared" si="26"/>
        <v>0</v>
      </c>
      <c r="O330" s="24">
        <f t="shared" si="27"/>
        <v>6</v>
      </c>
      <c r="P330" s="24">
        <f t="shared" si="28"/>
        <v>0</v>
      </c>
      <c r="Q330" s="25">
        <f t="shared" si="29"/>
        <v>0.33333333333333331</v>
      </c>
      <c r="R330" s="26" t="s">
        <v>1149</v>
      </c>
    </row>
    <row r="331" spans="1:18" ht="25.5" customHeight="1" x14ac:dyDescent="0.35">
      <c r="A331" s="21">
        <v>327</v>
      </c>
      <c r="B331" s="22" t="s">
        <v>1128</v>
      </c>
      <c r="C331" s="14" t="s">
        <v>1150</v>
      </c>
      <c r="D331" s="23" t="s">
        <v>35</v>
      </c>
      <c r="E331" s="23" t="s">
        <v>35</v>
      </c>
      <c r="F331" s="23" t="s">
        <v>31</v>
      </c>
      <c r="G331" s="23" t="s">
        <v>35</v>
      </c>
      <c r="H331" s="23" t="s">
        <v>35</v>
      </c>
      <c r="I331" s="23" t="s">
        <v>35</v>
      </c>
      <c r="J331" s="23" t="s">
        <v>35</v>
      </c>
      <c r="K331" s="23" t="s">
        <v>35</v>
      </c>
      <c r="L331" s="23" t="s">
        <v>35</v>
      </c>
      <c r="M331" s="24">
        <f t="shared" si="25"/>
        <v>1</v>
      </c>
      <c r="N331" s="24">
        <f t="shared" si="26"/>
        <v>0</v>
      </c>
      <c r="O331" s="24">
        <f t="shared" si="27"/>
        <v>8</v>
      </c>
      <c r="P331" s="24">
        <f t="shared" si="28"/>
        <v>0</v>
      </c>
      <c r="Q331" s="25">
        <f t="shared" si="29"/>
        <v>0.1111111111111111</v>
      </c>
      <c r="R331" s="26" t="s">
        <v>1151</v>
      </c>
    </row>
    <row r="332" spans="1:18" ht="25.5" customHeight="1" x14ac:dyDescent="0.35">
      <c r="A332" s="21">
        <v>328</v>
      </c>
      <c r="B332" s="22" t="s">
        <v>1128</v>
      </c>
      <c r="C332" s="14" t="s">
        <v>1152</v>
      </c>
      <c r="D332" s="23" t="s">
        <v>35</v>
      </c>
      <c r="E332" s="23" t="s">
        <v>31</v>
      </c>
      <c r="F332" s="23" t="s">
        <v>35</v>
      </c>
      <c r="G332" s="23" t="s">
        <v>35</v>
      </c>
      <c r="H332" s="23" t="s">
        <v>35</v>
      </c>
      <c r="I332" s="23" t="s">
        <v>35</v>
      </c>
      <c r="J332" s="23" t="s">
        <v>35</v>
      </c>
      <c r="K332" s="23" t="s">
        <v>35</v>
      </c>
      <c r="L332" s="23" t="s">
        <v>35</v>
      </c>
      <c r="M332" s="24">
        <f t="shared" si="25"/>
        <v>1</v>
      </c>
      <c r="N332" s="24">
        <f t="shared" si="26"/>
        <v>0</v>
      </c>
      <c r="O332" s="24">
        <f t="shared" si="27"/>
        <v>8</v>
      </c>
      <c r="P332" s="24">
        <f t="shared" si="28"/>
        <v>0</v>
      </c>
      <c r="Q332" s="25">
        <f t="shared" si="29"/>
        <v>0.1111111111111111</v>
      </c>
      <c r="R332" s="26" t="s">
        <v>1153</v>
      </c>
    </row>
    <row r="333" spans="1:18" ht="25.5" customHeight="1" x14ac:dyDescent="0.35">
      <c r="A333" s="21">
        <v>329</v>
      </c>
      <c r="B333" s="22" t="s">
        <v>1128</v>
      </c>
      <c r="C333" s="14" t="s">
        <v>1154</v>
      </c>
      <c r="D333" s="23" t="s">
        <v>35</v>
      </c>
      <c r="E333" s="23" t="s">
        <v>35</v>
      </c>
      <c r="F333" s="23" t="s">
        <v>35</v>
      </c>
      <c r="G333" s="23" t="s">
        <v>35</v>
      </c>
      <c r="H333" s="23" t="s">
        <v>35</v>
      </c>
      <c r="I333" s="23" t="s">
        <v>31</v>
      </c>
      <c r="J333" s="23" t="s">
        <v>31</v>
      </c>
      <c r="K333" s="23" t="s">
        <v>35</v>
      </c>
      <c r="L333" s="23" t="s">
        <v>35</v>
      </c>
      <c r="M333" s="24">
        <f t="shared" si="25"/>
        <v>2</v>
      </c>
      <c r="N333" s="24">
        <f t="shared" si="26"/>
        <v>0</v>
      </c>
      <c r="O333" s="24">
        <f t="shared" si="27"/>
        <v>7</v>
      </c>
      <c r="P333" s="24">
        <f t="shared" si="28"/>
        <v>0</v>
      </c>
      <c r="Q333" s="25">
        <f t="shared" si="29"/>
        <v>0.22222222222222221</v>
      </c>
      <c r="R333" s="26" t="s">
        <v>1155</v>
      </c>
    </row>
    <row r="334" spans="1:18" ht="25.5" customHeight="1" x14ac:dyDescent="0.35">
      <c r="A334" s="21">
        <v>330</v>
      </c>
      <c r="B334" s="22" t="s">
        <v>1128</v>
      </c>
      <c r="C334" s="14" t="s">
        <v>1156</v>
      </c>
      <c r="D334" s="23" t="s">
        <v>35</v>
      </c>
      <c r="E334" s="23" t="s">
        <v>35</v>
      </c>
      <c r="F334" s="23" t="s">
        <v>35</v>
      </c>
      <c r="G334" s="23" t="s">
        <v>35</v>
      </c>
      <c r="H334" s="23" t="s">
        <v>35</v>
      </c>
      <c r="I334" s="23" t="s">
        <v>33</v>
      </c>
      <c r="J334" s="23" t="s">
        <v>35</v>
      </c>
      <c r="K334" s="23" t="s">
        <v>35</v>
      </c>
      <c r="L334" s="23" t="s">
        <v>35</v>
      </c>
      <c r="M334" s="24">
        <f t="shared" si="25"/>
        <v>0</v>
      </c>
      <c r="N334" s="24">
        <f t="shared" si="26"/>
        <v>1</v>
      </c>
      <c r="O334" s="24">
        <f t="shared" si="27"/>
        <v>8</v>
      </c>
      <c r="P334" s="24">
        <f t="shared" si="28"/>
        <v>0</v>
      </c>
      <c r="Q334" s="25">
        <f t="shared" si="29"/>
        <v>5.5555555555555552E-2</v>
      </c>
      <c r="R334" s="26" t="s">
        <v>1157</v>
      </c>
    </row>
    <row r="335" spans="1:18" ht="25.5" customHeight="1" x14ac:dyDescent="0.35">
      <c r="A335" s="21">
        <v>331</v>
      </c>
      <c r="B335" s="22" t="s">
        <v>1128</v>
      </c>
      <c r="C335" s="14" t="s">
        <v>1158</v>
      </c>
      <c r="D335" s="23" t="s">
        <v>33</v>
      </c>
      <c r="E335" s="23" t="s">
        <v>31</v>
      </c>
      <c r="F335" s="23" t="s">
        <v>33</v>
      </c>
      <c r="G335" s="23" t="s">
        <v>33</v>
      </c>
      <c r="H335" s="23" t="s">
        <v>35</v>
      </c>
      <c r="I335" s="23" t="s">
        <v>31</v>
      </c>
      <c r="J335" s="23" t="s">
        <v>33</v>
      </c>
      <c r="K335" s="23" t="s">
        <v>33</v>
      </c>
      <c r="L335" s="23" t="s">
        <v>35</v>
      </c>
      <c r="M335" s="24">
        <f t="shared" si="25"/>
        <v>2</v>
      </c>
      <c r="N335" s="24">
        <f t="shared" si="26"/>
        <v>5</v>
      </c>
      <c r="O335" s="24">
        <f t="shared" si="27"/>
        <v>2</v>
      </c>
      <c r="P335" s="24">
        <f t="shared" si="28"/>
        <v>0</v>
      </c>
      <c r="Q335" s="25">
        <f t="shared" si="29"/>
        <v>0.5</v>
      </c>
      <c r="R335" s="26" t="s">
        <v>1159</v>
      </c>
    </row>
    <row r="336" spans="1:18" ht="25.5" customHeight="1" x14ac:dyDescent="0.35">
      <c r="A336" s="21">
        <v>332</v>
      </c>
      <c r="B336" s="22" t="s">
        <v>1128</v>
      </c>
      <c r="C336" s="14" t="s">
        <v>1160</v>
      </c>
      <c r="D336" s="23" t="s">
        <v>35</v>
      </c>
      <c r="E336" s="23" t="s">
        <v>35</v>
      </c>
      <c r="F336" s="23" t="s">
        <v>35</v>
      </c>
      <c r="G336" s="23" t="s">
        <v>31</v>
      </c>
      <c r="H336" s="23" t="s">
        <v>35</v>
      </c>
      <c r="I336" s="23" t="s">
        <v>35</v>
      </c>
      <c r="J336" s="23" t="s">
        <v>35</v>
      </c>
      <c r="K336" s="23" t="s">
        <v>35</v>
      </c>
      <c r="L336" s="23" t="s">
        <v>35</v>
      </c>
      <c r="M336" s="24">
        <f t="shared" si="25"/>
        <v>1</v>
      </c>
      <c r="N336" s="24">
        <f t="shared" si="26"/>
        <v>0</v>
      </c>
      <c r="O336" s="24">
        <f t="shared" si="27"/>
        <v>8</v>
      </c>
      <c r="P336" s="24">
        <f t="shared" si="28"/>
        <v>0</v>
      </c>
      <c r="Q336" s="25">
        <f t="shared" si="29"/>
        <v>0.1111111111111111</v>
      </c>
      <c r="R336" s="26" t="s">
        <v>1161</v>
      </c>
    </row>
    <row r="337" spans="1:18" ht="25.5" customHeight="1" x14ac:dyDescent="0.35">
      <c r="A337" s="21">
        <v>333</v>
      </c>
      <c r="B337" s="22" t="s">
        <v>1162</v>
      </c>
      <c r="C337" s="14" t="s">
        <v>1163</v>
      </c>
      <c r="D337" s="23" t="s">
        <v>35</v>
      </c>
      <c r="E337" s="23" t="s">
        <v>33</v>
      </c>
      <c r="F337" s="23" t="s">
        <v>35</v>
      </c>
      <c r="G337" s="23" t="s">
        <v>35</v>
      </c>
      <c r="H337" s="23" t="s">
        <v>35</v>
      </c>
      <c r="I337" s="23" t="s">
        <v>31</v>
      </c>
      <c r="J337" s="23" t="s">
        <v>35</v>
      </c>
      <c r="K337" s="23" t="s">
        <v>35</v>
      </c>
      <c r="L337" s="23" t="s">
        <v>35</v>
      </c>
      <c r="M337" s="24">
        <f t="shared" si="25"/>
        <v>1</v>
      </c>
      <c r="N337" s="24">
        <f t="shared" si="26"/>
        <v>1</v>
      </c>
      <c r="O337" s="24">
        <f t="shared" si="27"/>
        <v>7</v>
      </c>
      <c r="P337" s="24">
        <f t="shared" si="28"/>
        <v>0</v>
      </c>
      <c r="Q337" s="25">
        <f t="shared" si="29"/>
        <v>0.16666666666666666</v>
      </c>
      <c r="R337" s="26" t="s">
        <v>1164</v>
      </c>
    </row>
    <row r="338" spans="1:18" ht="25.5" customHeight="1" x14ac:dyDescent="0.35">
      <c r="A338" s="21">
        <v>334</v>
      </c>
      <c r="B338" s="22" t="s">
        <v>1162</v>
      </c>
      <c r="C338" s="14" t="s">
        <v>1165</v>
      </c>
      <c r="D338" s="23" t="s">
        <v>35</v>
      </c>
      <c r="E338" s="23" t="s">
        <v>33</v>
      </c>
      <c r="F338" s="23" t="s">
        <v>35</v>
      </c>
      <c r="G338" s="23" t="s">
        <v>35</v>
      </c>
      <c r="H338" s="23" t="s">
        <v>35</v>
      </c>
      <c r="I338" s="23" t="s">
        <v>31</v>
      </c>
      <c r="J338" s="23" t="s">
        <v>35</v>
      </c>
      <c r="K338" s="23" t="s">
        <v>35</v>
      </c>
      <c r="L338" s="23" t="s">
        <v>35</v>
      </c>
      <c r="M338" s="24">
        <f t="shared" si="25"/>
        <v>1</v>
      </c>
      <c r="N338" s="24">
        <f t="shared" si="26"/>
        <v>1</v>
      </c>
      <c r="O338" s="24">
        <f t="shared" si="27"/>
        <v>7</v>
      </c>
      <c r="P338" s="24">
        <f t="shared" si="28"/>
        <v>0</v>
      </c>
      <c r="Q338" s="25">
        <f t="shared" si="29"/>
        <v>0.16666666666666666</v>
      </c>
      <c r="R338" s="26"/>
    </row>
    <row r="339" spans="1:18" ht="25.5" customHeight="1" x14ac:dyDescent="0.35">
      <c r="A339" s="21">
        <v>335</v>
      </c>
      <c r="B339" s="22" t="s">
        <v>1162</v>
      </c>
      <c r="C339" s="14" t="s">
        <v>1166</v>
      </c>
      <c r="D339" s="23" t="s">
        <v>35</v>
      </c>
      <c r="E339" s="23" t="s">
        <v>35</v>
      </c>
      <c r="F339" s="23" t="s">
        <v>35</v>
      </c>
      <c r="G339" s="23" t="s">
        <v>35</v>
      </c>
      <c r="H339" s="23" t="s">
        <v>35</v>
      </c>
      <c r="I339" s="23" t="s">
        <v>35</v>
      </c>
      <c r="J339" s="23" t="s">
        <v>35</v>
      </c>
      <c r="K339" s="23" t="s">
        <v>35</v>
      </c>
      <c r="L339" s="23" t="s">
        <v>35</v>
      </c>
      <c r="M339" s="24">
        <f t="shared" si="25"/>
        <v>0</v>
      </c>
      <c r="N339" s="24">
        <f t="shared" si="26"/>
        <v>0</v>
      </c>
      <c r="O339" s="24">
        <f t="shared" si="27"/>
        <v>9</v>
      </c>
      <c r="P339" s="24">
        <f t="shared" si="28"/>
        <v>0</v>
      </c>
      <c r="Q339" s="25">
        <f t="shared" si="29"/>
        <v>0</v>
      </c>
      <c r="R339" s="26" t="s">
        <v>798</v>
      </c>
    </row>
    <row r="340" spans="1:18" ht="25.5" customHeight="1" x14ac:dyDescent="0.35">
      <c r="A340" s="21">
        <v>336</v>
      </c>
      <c r="B340" s="22" t="s">
        <v>1162</v>
      </c>
      <c r="C340" s="14" t="s">
        <v>1167</v>
      </c>
      <c r="D340" s="23" t="s">
        <v>35</v>
      </c>
      <c r="E340" s="23" t="s">
        <v>35</v>
      </c>
      <c r="F340" s="23" t="s">
        <v>35</v>
      </c>
      <c r="G340" s="23" t="s">
        <v>35</v>
      </c>
      <c r="H340" s="23" t="s">
        <v>33</v>
      </c>
      <c r="I340" s="23" t="s">
        <v>35</v>
      </c>
      <c r="J340" s="23" t="s">
        <v>35</v>
      </c>
      <c r="K340" s="23" t="s">
        <v>35</v>
      </c>
      <c r="L340" s="23" t="s">
        <v>35</v>
      </c>
      <c r="M340" s="24">
        <f t="shared" si="25"/>
        <v>0</v>
      </c>
      <c r="N340" s="24">
        <f t="shared" si="26"/>
        <v>1</v>
      </c>
      <c r="O340" s="24">
        <f t="shared" si="27"/>
        <v>8</v>
      </c>
      <c r="P340" s="24">
        <f t="shared" si="28"/>
        <v>0</v>
      </c>
      <c r="Q340" s="25">
        <f t="shared" si="29"/>
        <v>5.5555555555555552E-2</v>
      </c>
      <c r="R340" s="26" t="s">
        <v>1168</v>
      </c>
    </row>
    <row r="341" spans="1:18" ht="25.5" customHeight="1" x14ac:dyDescent="0.35">
      <c r="A341" s="21">
        <v>337</v>
      </c>
      <c r="B341" s="22" t="s">
        <v>1162</v>
      </c>
      <c r="C341" s="14" t="s">
        <v>1169</v>
      </c>
      <c r="D341" s="23" t="s">
        <v>35</v>
      </c>
      <c r="E341" s="23" t="s">
        <v>35</v>
      </c>
      <c r="F341" s="23" t="s">
        <v>35</v>
      </c>
      <c r="G341" s="23" t="s">
        <v>35</v>
      </c>
      <c r="H341" s="23" t="s">
        <v>35</v>
      </c>
      <c r="I341" s="23" t="s">
        <v>35</v>
      </c>
      <c r="J341" s="23" t="s">
        <v>35</v>
      </c>
      <c r="K341" s="23" t="s">
        <v>35</v>
      </c>
      <c r="L341" s="23" t="s">
        <v>35</v>
      </c>
      <c r="M341" s="24">
        <f t="shared" si="25"/>
        <v>0</v>
      </c>
      <c r="N341" s="24">
        <f t="shared" si="26"/>
        <v>0</v>
      </c>
      <c r="O341" s="24">
        <f t="shared" si="27"/>
        <v>9</v>
      </c>
      <c r="P341" s="24">
        <f t="shared" si="28"/>
        <v>0</v>
      </c>
      <c r="Q341" s="25">
        <f t="shared" si="29"/>
        <v>0</v>
      </c>
      <c r="R341" s="26" t="s">
        <v>798</v>
      </c>
    </row>
    <row r="342" spans="1:18" ht="25.5" customHeight="1" x14ac:dyDescent="0.35">
      <c r="A342" s="21">
        <v>338</v>
      </c>
      <c r="B342" s="22" t="s">
        <v>1162</v>
      </c>
      <c r="C342" s="14" t="s">
        <v>1170</v>
      </c>
      <c r="D342" s="23" t="s">
        <v>35</v>
      </c>
      <c r="E342" s="23" t="s">
        <v>35</v>
      </c>
      <c r="F342" s="23" t="s">
        <v>35</v>
      </c>
      <c r="G342" s="23" t="s">
        <v>35</v>
      </c>
      <c r="H342" s="23" t="s">
        <v>35</v>
      </c>
      <c r="I342" s="23" t="s">
        <v>35</v>
      </c>
      <c r="J342" s="23" t="s">
        <v>35</v>
      </c>
      <c r="K342" s="23" t="s">
        <v>35</v>
      </c>
      <c r="L342" s="23" t="s">
        <v>35</v>
      </c>
      <c r="M342" s="24">
        <f t="shared" si="25"/>
        <v>0</v>
      </c>
      <c r="N342" s="24">
        <f t="shared" si="26"/>
        <v>0</v>
      </c>
      <c r="O342" s="24">
        <f t="shared" si="27"/>
        <v>9</v>
      </c>
      <c r="P342" s="24">
        <f t="shared" si="28"/>
        <v>0</v>
      </c>
      <c r="Q342" s="25">
        <f t="shared" si="29"/>
        <v>0</v>
      </c>
      <c r="R342" s="26" t="s">
        <v>798</v>
      </c>
    </row>
    <row r="343" spans="1:18" ht="25.5" customHeight="1" x14ac:dyDescent="0.35">
      <c r="A343" s="21">
        <v>339</v>
      </c>
      <c r="B343" s="22" t="s">
        <v>1162</v>
      </c>
      <c r="C343" s="14" t="s">
        <v>1171</v>
      </c>
      <c r="D343" s="23" t="s">
        <v>37</v>
      </c>
      <c r="E343" s="23" t="s">
        <v>37</v>
      </c>
      <c r="F343" s="23" t="s">
        <v>37</v>
      </c>
      <c r="G343" s="23" t="s">
        <v>35</v>
      </c>
      <c r="H343" s="23" t="s">
        <v>35</v>
      </c>
      <c r="I343" s="23" t="s">
        <v>37</v>
      </c>
      <c r="J343" s="23" t="s">
        <v>31</v>
      </c>
      <c r="K343" s="23" t="s">
        <v>37</v>
      </c>
      <c r="L343" s="23" t="s">
        <v>37</v>
      </c>
      <c r="M343" s="24">
        <f t="shared" si="25"/>
        <v>1</v>
      </c>
      <c r="N343" s="24">
        <f t="shared" si="26"/>
        <v>0</v>
      </c>
      <c r="O343" s="24">
        <f t="shared" si="27"/>
        <v>2</v>
      </c>
      <c r="P343" s="24">
        <f t="shared" si="28"/>
        <v>6</v>
      </c>
      <c r="Q343" s="25">
        <f t="shared" si="29"/>
        <v>0.1111111111111111</v>
      </c>
      <c r="R343" s="26" t="s">
        <v>1172</v>
      </c>
    </row>
    <row r="344" spans="1:18" ht="25.5" customHeight="1" x14ac:dyDescent="0.35">
      <c r="A344" s="21">
        <v>340</v>
      </c>
      <c r="B344" s="22" t="s">
        <v>1173</v>
      </c>
      <c r="C344" s="14" t="s">
        <v>1174</v>
      </c>
      <c r="D344" s="23" t="s">
        <v>35</v>
      </c>
      <c r="E344" s="23" t="s">
        <v>35</v>
      </c>
      <c r="F344" s="23" t="s">
        <v>35</v>
      </c>
      <c r="G344" s="23" t="s">
        <v>35</v>
      </c>
      <c r="H344" s="23" t="s">
        <v>31</v>
      </c>
      <c r="I344" s="23" t="s">
        <v>35</v>
      </c>
      <c r="J344" s="23" t="s">
        <v>35</v>
      </c>
      <c r="K344" s="23" t="s">
        <v>35</v>
      </c>
      <c r="L344" s="23" t="s">
        <v>35</v>
      </c>
      <c r="M344" s="24">
        <f t="shared" si="25"/>
        <v>1</v>
      </c>
      <c r="N344" s="24">
        <f t="shared" si="26"/>
        <v>0</v>
      </c>
      <c r="O344" s="24">
        <f t="shared" si="27"/>
        <v>8</v>
      </c>
      <c r="P344" s="24">
        <f t="shared" si="28"/>
        <v>0</v>
      </c>
      <c r="Q344" s="25">
        <f t="shared" si="29"/>
        <v>0.1111111111111111</v>
      </c>
      <c r="R344" s="26" t="s">
        <v>1175</v>
      </c>
    </row>
    <row r="345" spans="1:18" ht="25.5" customHeight="1" x14ac:dyDescent="0.35">
      <c r="A345" s="21">
        <v>341</v>
      </c>
      <c r="B345" s="22" t="s">
        <v>1173</v>
      </c>
      <c r="C345" s="14" t="s">
        <v>773</v>
      </c>
      <c r="D345" s="23" t="s">
        <v>37</v>
      </c>
      <c r="E345" s="23" t="s">
        <v>37</v>
      </c>
      <c r="F345" s="23" t="s">
        <v>37</v>
      </c>
      <c r="G345" s="23" t="s">
        <v>37</v>
      </c>
      <c r="H345" s="23" t="s">
        <v>33</v>
      </c>
      <c r="I345" s="23" t="s">
        <v>37</v>
      </c>
      <c r="J345" s="23" t="s">
        <v>37</v>
      </c>
      <c r="K345" s="23" t="s">
        <v>37</v>
      </c>
      <c r="L345" s="23" t="s">
        <v>35</v>
      </c>
      <c r="M345" s="24">
        <f t="shared" si="25"/>
        <v>0</v>
      </c>
      <c r="N345" s="24">
        <f t="shared" si="26"/>
        <v>1</v>
      </c>
      <c r="O345" s="24">
        <f t="shared" si="27"/>
        <v>1</v>
      </c>
      <c r="P345" s="24">
        <f t="shared" si="28"/>
        <v>7</v>
      </c>
      <c r="Q345" s="25">
        <f t="shared" si="29"/>
        <v>5.5555555555555552E-2</v>
      </c>
      <c r="R345" s="26" t="s">
        <v>1176</v>
      </c>
    </row>
    <row r="346" spans="1:18" ht="25.5" customHeight="1" x14ac:dyDescent="0.35">
      <c r="A346" s="21">
        <v>342</v>
      </c>
      <c r="B346" s="22" t="s">
        <v>1173</v>
      </c>
      <c r="C346" s="14" t="s">
        <v>1177</v>
      </c>
      <c r="D346" s="23" t="s">
        <v>35</v>
      </c>
      <c r="E346" s="23" t="s">
        <v>35</v>
      </c>
      <c r="F346" s="23" t="s">
        <v>35</v>
      </c>
      <c r="G346" s="23" t="s">
        <v>35</v>
      </c>
      <c r="H346" s="23" t="s">
        <v>35</v>
      </c>
      <c r="I346" s="23" t="s">
        <v>35</v>
      </c>
      <c r="J346" s="23" t="s">
        <v>35</v>
      </c>
      <c r="K346" s="23" t="s">
        <v>35</v>
      </c>
      <c r="L346" s="23" t="s">
        <v>35</v>
      </c>
      <c r="M346" s="24">
        <f t="shared" si="25"/>
        <v>0</v>
      </c>
      <c r="N346" s="24">
        <f t="shared" si="26"/>
        <v>0</v>
      </c>
      <c r="O346" s="24">
        <f t="shared" si="27"/>
        <v>9</v>
      </c>
      <c r="P346" s="24">
        <f t="shared" si="28"/>
        <v>0</v>
      </c>
      <c r="Q346" s="25">
        <f t="shared" si="29"/>
        <v>0</v>
      </c>
      <c r="R346" s="26" t="s">
        <v>1178</v>
      </c>
    </row>
    <row r="347" spans="1:18" ht="25.5" customHeight="1" x14ac:dyDescent="0.35">
      <c r="A347" s="21">
        <v>343</v>
      </c>
      <c r="B347" s="22" t="s">
        <v>1173</v>
      </c>
      <c r="C347" s="14" t="s">
        <v>1179</v>
      </c>
      <c r="D347" s="23" t="s">
        <v>35</v>
      </c>
      <c r="E347" s="23" t="s">
        <v>35</v>
      </c>
      <c r="F347" s="23" t="s">
        <v>35</v>
      </c>
      <c r="G347" s="23" t="s">
        <v>35</v>
      </c>
      <c r="H347" s="23" t="s">
        <v>35</v>
      </c>
      <c r="I347" s="23" t="s">
        <v>33</v>
      </c>
      <c r="J347" s="23" t="s">
        <v>33</v>
      </c>
      <c r="K347" s="23" t="s">
        <v>35</v>
      </c>
      <c r="L347" s="23" t="s">
        <v>35</v>
      </c>
      <c r="M347" s="24">
        <f t="shared" si="25"/>
        <v>0</v>
      </c>
      <c r="N347" s="24">
        <f t="shared" si="26"/>
        <v>2</v>
      </c>
      <c r="O347" s="24">
        <f t="shared" si="27"/>
        <v>7</v>
      </c>
      <c r="P347" s="24">
        <f t="shared" si="28"/>
        <v>0</v>
      </c>
      <c r="Q347" s="25">
        <f t="shared" si="29"/>
        <v>0.1111111111111111</v>
      </c>
      <c r="R347" s="26" t="s">
        <v>1180</v>
      </c>
    </row>
    <row r="348" spans="1:18" ht="25.5" customHeight="1" x14ac:dyDescent="0.35">
      <c r="A348" s="21">
        <v>344</v>
      </c>
      <c r="B348" s="22" t="s">
        <v>1173</v>
      </c>
      <c r="C348" s="14" t="s">
        <v>1181</v>
      </c>
      <c r="D348" s="23" t="s">
        <v>37</v>
      </c>
      <c r="E348" s="23" t="s">
        <v>37</v>
      </c>
      <c r="F348" s="23" t="s">
        <v>37</v>
      </c>
      <c r="G348" s="23" t="s">
        <v>37</v>
      </c>
      <c r="H348" s="23" t="s">
        <v>37</v>
      </c>
      <c r="I348" s="23" t="s">
        <v>37</v>
      </c>
      <c r="J348" s="23" t="s">
        <v>37</v>
      </c>
      <c r="K348" s="23" t="s">
        <v>37</v>
      </c>
      <c r="L348" s="23" t="s">
        <v>37</v>
      </c>
      <c r="M348" s="24">
        <f t="shared" si="25"/>
        <v>0</v>
      </c>
      <c r="N348" s="24">
        <f t="shared" si="26"/>
        <v>0</v>
      </c>
      <c r="O348" s="24">
        <f t="shared" si="27"/>
        <v>0</v>
      </c>
      <c r="P348" s="24">
        <f t="shared" si="28"/>
        <v>9</v>
      </c>
      <c r="Q348" s="25">
        <f t="shared" si="29"/>
        <v>0</v>
      </c>
      <c r="R348" s="26" t="s">
        <v>1182</v>
      </c>
    </row>
    <row r="349" spans="1:18" ht="25.5" customHeight="1" x14ac:dyDescent="0.35">
      <c r="A349" s="21">
        <v>345</v>
      </c>
      <c r="B349" s="22" t="s">
        <v>1173</v>
      </c>
      <c r="C349" s="14" t="s">
        <v>1183</v>
      </c>
      <c r="D349" s="23" t="s">
        <v>37</v>
      </c>
      <c r="E349" s="23" t="s">
        <v>37</v>
      </c>
      <c r="F349" s="23" t="s">
        <v>37</v>
      </c>
      <c r="G349" s="23" t="s">
        <v>37</v>
      </c>
      <c r="H349" s="23" t="s">
        <v>37</v>
      </c>
      <c r="I349" s="23" t="s">
        <v>37</v>
      </c>
      <c r="J349" s="23" t="s">
        <v>37</v>
      </c>
      <c r="K349" s="23" t="s">
        <v>37</v>
      </c>
      <c r="L349" s="23" t="s">
        <v>37</v>
      </c>
      <c r="M349" s="24">
        <f t="shared" si="25"/>
        <v>0</v>
      </c>
      <c r="N349" s="24">
        <f t="shared" si="26"/>
        <v>0</v>
      </c>
      <c r="O349" s="24">
        <f t="shared" si="27"/>
        <v>0</v>
      </c>
      <c r="P349" s="24">
        <f t="shared" si="28"/>
        <v>9</v>
      </c>
      <c r="Q349" s="25">
        <f t="shared" si="29"/>
        <v>0</v>
      </c>
      <c r="R349" s="26" t="s">
        <v>1184</v>
      </c>
    </row>
    <row r="350" spans="1:18" ht="25.5" customHeight="1" x14ac:dyDescent="0.35">
      <c r="A350" s="21">
        <v>346</v>
      </c>
      <c r="B350" s="22" t="s">
        <v>1185</v>
      </c>
      <c r="C350" s="14" t="s">
        <v>1186</v>
      </c>
      <c r="D350" s="23" t="s">
        <v>35</v>
      </c>
      <c r="E350" s="23" t="s">
        <v>33</v>
      </c>
      <c r="F350" s="23" t="s">
        <v>580</v>
      </c>
      <c r="G350" s="23" t="s">
        <v>33</v>
      </c>
      <c r="H350" s="23" t="s">
        <v>35</v>
      </c>
      <c r="I350" s="23" t="s">
        <v>33</v>
      </c>
      <c r="J350" s="23" t="s">
        <v>31</v>
      </c>
      <c r="K350" s="23" t="s">
        <v>35</v>
      </c>
      <c r="L350" s="23" t="s">
        <v>35</v>
      </c>
      <c r="M350" s="24">
        <f t="shared" si="25"/>
        <v>2</v>
      </c>
      <c r="N350" s="24">
        <f t="shared" si="26"/>
        <v>3</v>
      </c>
      <c r="O350" s="24">
        <f t="shared" si="27"/>
        <v>4</v>
      </c>
      <c r="P350" s="24">
        <f t="shared" si="28"/>
        <v>0</v>
      </c>
      <c r="Q350" s="25">
        <f t="shared" si="29"/>
        <v>0.3888888888888889</v>
      </c>
      <c r="R350" s="26" t="s">
        <v>1187</v>
      </c>
    </row>
    <row r="351" spans="1:18" ht="25.5" customHeight="1" x14ac:dyDescent="0.35">
      <c r="A351" s="21">
        <v>347</v>
      </c>
      <c r="B351" s="22" t="s">
        <v>1185</v>
      </c>
      <c r="C351" s="14" t="s">
        <v>1188</v>
      </c>
      <c r="D351" s="23" t="s">
        <v>35</v>
      </c>
      <c r="E351" s="23" t="s">
        <v>35</v>
      </c>
      <c r="F351" s="23" t="s">
        <v>35</v>
      </c>
      <c r="G351" s="23" t="s">
        <v>35</v>
      </c>
      <c r="H351" s="23" t="s">
        <v>35</v>
      </c>
      <c r="I351" s="23" t="s">
        <v>35</v>
      </c>
      <c r="J351" s="23" t="s">
        <v>35</v>
      </c>
      <c r="K351" s="23" t="s">
        <v>35</v>
      </c>
      <c r="L351" s="23" t="s">
        <v>35</v>
      </c>
      <c r="M351" s="24">
        <f t="shared" si="25"/>
        <v>0</v>
      </c>
      <c r="N351" s="24">
        <f t="shared" si="26"/>
        <v>0</v>
      </c>
      <c r="O351" s="24">
        <f t="shared" si="27"/>
        <v>9</v>
      </c>
      <c r="P351" s="24">
        <f t="shared" si="28"/>
        <v>0</v>
      </c>
      <c r="Q351" s="25">
        <f t="shared" si="29"/>
        <v>0</v>
      </c>
      <c r="R351" s="26" t="s">
        <v>1189</v>
      </c>
    </row>
    <row r="352" spans="1:18" ht="25.5" customHeight="1" x14ac:dyDescent="0.35">
      <c r="A352" s="21">
        <v>348</v>
      </c>
      <c r="B352" s="22" t="s">
        <v>1185</v>
      </c>
      <c r="C352" s="14" t="s">
        <v>1190</v>
      </c>
      <c r="D352" s="23" t="s">
        <v>35</v>
      </c>
      <c r="E352" s="23" t="s">
        <v>33</v>
      </c>
      <c r="F352" s="23" t="s">
        <v>33</v>
      </c>
      <c r="G352" s="23" t="s">
        <v>33</v>
      </c>
      <c r="H352" s="23" t="s">
        <v>35</v>
      </c>
      <c r="I352" s="23" t="s">
        <v>33</v>
      </c>
      <c r="J352" s="23" t="s">
        <v>31</v>
      </c>
      <c r="K352" s="23" t="s">
        <v>33</v>
      </c>
      <c r="L352" s="23" t="s">
        <v>35</v>
      </c>
      <c r="M352" s="24">
        <f t="shared" si="25"/>
        <v>1</v>
      </c>
      <c r="N352" s="24">
        <f t="shared" si="26"/>
        <v>5</v>
      </c>
      <c r="O352" s="24">
        <f t="shared" si="27"/>
        <v>3</v>
      </c>
      <c r="P352" s="24">
        <f t="shared" si="28"/>
        <v>0</v>
      </c>
      <c r="Q352" s="25">
        <f t="shared" si="29"/>
        <v>0.3888888888888889</v>
      </c>
      <c r="R352" s="26" t="s">
        <v>1191</v>
      </c>
    </row>
    <row r="353" spans="1:18" ht="25.5" customHeight="1" x14ac:dyDescent="0.35">
      <c r="A353" s="21">
        <v>349</v>
      </c>
      <c r="B353" s="22" t="s">
        <v>1185</v>
      </c>
      <c r="C353" s="14" t="s">
        <v>1192</v>
      </c>
      <c r="D353" s="23" t="s">
        <v>33</v>
      </c>
      <c r="E353" s="23" t="s">
        <v>33</v>
      </c>
      <c r="F353" s="23" t="s">
        <v>33</v>
      </c>
      <c r="G353" s="23" t="s">
        <v>33</v>
      </c>
      <c r="H353" s="23" t="s">
        <v>33</v>
      </c>
      <c r="I353" s="23" t="s">
        <v>33</v>
      </c>
      <c r="J353" s="23" t="s">
        <v>33</v>
      </c>
      <c r="K353" s="23" t="s">
        <v>33</v>
      </c>
      <c r="L353" s="23" t="s">
        <v>33</v>
      </c>
      <c r="M353" s="24">
        <f t="shared" si="25"/>
        <v>0</v>
      </c>
      <c r="N353" s="24">
        <f t="shared" si="26"/>
        <v>9</v>
      </c>
      <c r="O353" s="24">
        <f t="shared" si="27"/>
        <v>0</v>
      </c>
      <c r="P353" s="24">
        <f t="shared" si="28"/>
        <v>0</v>
      </c>
      <c r="Q353" s="25">
        <f t="shared" si="29"/>
        <v>0.5</v>
      </c>
      <c r="R353" s="26" t="s">
        <v>1193</v>
      </c>
    </row>
    <row r="354" spans="1:18" ht="25.5" customHeight="1" x14ac:dyDescent="0.35">
      <c r="A354" s="21">
        <v>350</v>
      </c>
      <c r="B354" s="22" t="s">
        <v>1185</v>
      </c>
      <c r="C354" s="14" t="s">
        <v>1194</v>
      </c>
      <c r="D354" s="23" t="s">
        <v>37</v>
      </c>
      <c r="E354" s="23" t="s">
        <v>37</v>
      </c>
      <c r="F354" s="23" t="s">
        <v>37</v>
      </c>
      <c r="G354" s="23" t="s">
        <v>37</v>
      </c>
      <c r="H354" s="23" t="s">
        <v>31</v>
      </c>
      <c r="I354" s="23" t="s">
        <v>37</v>
      </c>
      <c r="J354" s="23" t="s">
        <v>37</v>
      </c>
      <c r="K354" s="23" t="s">
        <v>37</v>
      </c>
      <c r="L354" s="23" t="s">
        <v>37</v>
      </c>
      <c r="M354" s="24">
        <f t="shared" si="25"/>
        <v>1</v>
      </c>
      <c r="N354" s="24">
        <f t="shared" si="26"/>
        <v>0</v>
      </c>
      <c r="O354" s="24">
        <f t="shared" si="27"/>
        <v>0</v>
      </c>
      <c r="P354" s="24">
        <f t="shared" si="28"/>
        <v>8</v>
      </c>
      <c r="Q354" s="25">
        <f t="shared" si="29"/>
        <v>0.1111111111111111</v>
      </c>
      <c r="R354" s="26" t="s">
        <v>1195</v>
      </c>
    </row>
    <row r="355" spans="1:18" ht="25.5" customHeight="1" x14ac:dyDescent="0.35">
      <c r="A355" s="21">
        <v>351</v>
      </c>
      <c r="B355" s="22" t="s">
        <v>1196</v>
      </c>
      <c r="C355" s="14" t="s">
        <v>1197</v>
      </c>
      <c r="D355" s="23" t="s">
        <v>33</v>
      </c>
      <c r="E355" s="23" t="s">
        <v>31</v>
      </c>
      <c r="F355" s="23" t="s">
        <v>35</v>
      </c>
      <c r="G355" s="23" t="s">
        <v>31</v>
      </c>
      <c r="H355" s="23" t="s">
        <v>35</v>
      </c>
      <c r="I355" s="23" t="s">
        <v>31</v>
      </c>
      <c r="J355" s="23" t="s">
        <v>31</v>
      </c>
      <c r="K355" s="23" t="s">
        <v>33</v>
      </c>
      <c r="L355" s="23" t="s">
        <v>31</v>
      </c>
      <c r="M355" s="24">
        <f t="shared" si="25"/>
        <v>5</v>
      </c>
      <c r="N355" s="24">
        <f t="shared" si="26"/>
        <v>2</v>
      </c>
      <c r="O355" s="24">
        <f t="shared" si="27"/>
        <v>2</v>
      </c>
      <c r="P355" s="24">
        <f t="shared" si="28"/>
        <v>0</v>
      </c>
      <c r="Q355" s="25">
        <f t="shared" si="29"/>
        <v>0.66666666666666663</v>
      </c>
      <c r="R355" s="26"/>
    </row>
    <row r="356" spans="1:18" ht="25.5" customHeight="1" x14ac:dyDescent="0.35">
      <c r="A356" s="21">
        <v>352</v>
      </c>
      <c r="B356" s="22" t="s">
        <v>1196</v>
      </c>
      <c r="C356" s="14" t="s">
        <v>1198</v>
      </c>
      <c r="D356" s="23" t="s">
        <v>35</v>
      </c>
      <c r="E356" s="23" t="s">
        <v>33</v>
      </c>
      <c r="F356" s="23" t="s">
        <v>35</v>
      </c>
      <c r="G356" s="23" t="s">
        <v>35</v>
      </c>
      <c r="H356" s="23" t="s">
        <v>35</v>
      </c>
      <c r="I356" s="23" t="s">
        <v>35</v>
      </c>
      <c r="J356" s="23" t="s">
        <v>33</v>
      </c>
      <c r="K356" s="23" t="s">
        <v>35</v>
      </c>
      <c r="L356" s="23" t="s">
        <v>35</v>
      </c>
      <c r="M356" s="24">
        <f t="shared" si="25"/>
        <v>0</v>
      </c>
      <c r="N356" s="24">
        <f t="shared" si="26"/>
        <v>2</v>
      </c>
      <c r="O356" s="24">
        <f t="shared" si="27"/>
        <v>7</v>
      </c>
      <c r="P356" s="24">
        <f t="shared" si="28"/>
        <v>0</v>
      </c>
      <c r="Q356" s="25">
        <f t="shared" si="29"/>
        <v>0.1111111111111111</v>
      </c>
      <c r="R356" s="26" t="s">
        <v>1199</v>
      </c>
    </row>
    <row r="357" spans="1:18" ht="25.5" customHeight="1" x14ac:dyDescent="0.35">
      <c r="A357" s="21">
        <v>353</v>
      </c>
      <c r="B357" s="22" t="s">
        <v>1196</v>
      </c>
      <c r="C357" s="14" t="s">
        <v>1200</v>
      </c>
      <c r="D357" s="23" t="s">
        <v>31</v>
      </c>
      <c r="E357" s="23" t="s">
        <v>33</v>
      </c>
      <c r="F357" s="23" t="s">
        <v>33</v>
      </c>
      <c r="G357" s="23" t="s">
        <v>35</v>
      </c>
      <c r="H357" s="23" t="s">
        <v>35</v>
      </c>
      <c r="I357" s="23" t="s">
        <v>37</v>
      </c>
      <c r="J357" s="23" t="s">
        <v>35</v>
      </c>
      <c r="K357" s="23" t="s">
        <v>35</v>
      </c>
      <c r="L357" s="23" t="s">
        <v>35</v>
      </c>
      <c r="M357" s="24">
        <f t="shared" si="25"/>
        <v>1</v>
      </c>
      <c r="N357" s="24">
        <f t="shared" si="26"/>
        <v>2</v>
      </c>
      <c r="O357" s="24">
        <f t="shared" si="27"/>
        <v>5</v>
      </c>
      <c r="P357" s="24">
        <f t="shared" si="28"/>
        <v>1</v>
      </c>
      <c r="Q357" s="25">
        <f t="shared" si="29"/>
        <v>0.22222222222222221</v>
      </c>
      <c r="R357" s="26" t="s">
        <v>1201</v>
      </c>
    </row>
    <row r="358" spans="1:18" ht="25.5" customHeight="1" x14ac:dyDescent="0.35">
      <c r="A358" s="21">
        <v>354</v>
      </c>
      <c r="B358" s="22" t="s">
        <v>1196</v>
      </c>
      <c r="C358" s="14" t="s">
        <v>1202</v>
      </c>
      <c r="D358" s="23" t="s">
        <v>35</v>
      </c>
      <c r="E358" s="23" t="s">
        <v>33</v>
      </c>
      <c r="F358" s="23" t="s">
        <v>35</v>
      </c>
      <c r="G358" s="23" t="s">
        <v>33</v>
      </c>
      <c r="H358" s="23" t="s">
        <v>35</v>
      </c>
      <c r="I358" s="23" t="s">
        <v>33</v>
      </c>
      <c r="J358" s="23" t="s">
        <v>33</v>
      </c>
      <c r="K358" s="23" t="s">
        <v>35</v>
      </c>
      <c r="L358" s="23" t="s">
        <v>33</v>
      </c>
      <c r="M358" s="24">
        <f t="shared" si="25"/>
        <v>0</v>
      </c>
      <c r="N358" s="24">
        <f t="shared" si="26"/>
        <v>5</v>
      </c>
      <c r="O358" s="24">
        <f t="shared" si="27"/>
        <v>4</v>
      </c>
      <c r="P358" s="24">
        <f t="shared" si="28"/>
        <v>0</v>
      </c>
      <c r="Q358" s="25">
        <f t="shared" si="29"/>
        <v>0.27777777777777779</v>
      </c>
      <c r="R358" s="26" t="s">
        <v>1203</v>
      </c>
    </row>
    <row r="359" spans="1:18" ht="25.5" customHeight="1" x14ac:dyDescent="0.35">
      <c r="A359" s="21">
        <v>355</v>
      </c>
      <c r="B359" s="22" t="s">
        <v>1196</v>
      </c>
      <c r="C359" s="14" t="s">
        <v>1204</v>
      </c>
      <c r="D359" s="23" t="s">
        <v>35</v>
      </c>
      <c r="E359" s="23" t="s">
        <v>37</v>
      </c>
      <c r="F359" s="23" t="s">
        <v>35</v>
      </c>
      <c r="G359" s="23" t="s">
        <v>37</v>
      </c>
      <c r="H359" s="23" t="s">
        <v>35</v>
      </c>
      <c r="I359" s="23" t="s">
        <v>37</v>
      </c>
      <c r="J359" s="23" t="s">
        <v>37</v>
      </c>
      <c r="K359" s="23" t="s">
        <v>35</v>
      </c>
      <c r="L359" s="23" t="s">
        <v>35</v>
      </c>
      <c r="M359" s="24">
        <f t="shared" si="25"/>
        <v>0</v>
      </c>
      <c r="N359" s="24">
        <f t="shared" si="26"/>
        <v>0</v>
      </c>
      <c r="O359" s="24">
        <f t="shared" si="27"/>
        <v>5</v>
      </c>
      <c r="P359" s="24">
        <f t="shared" si="28"/>
        <v>4</v>
      </c>
      <c r="Q359" s="25">
        <f t="shared" si="29"/>
        <v>0</v>
      </c>
      <c r="R359" s="26" t="s">
        <v>1205</v>
      </c>
    </row>
    <row r="360" spans="1:18" ht="25.5" customHeight="1" x14ac:dyDescent="0.35">
      <c r="A360" s="21">
        <v>356</v>
      </c>
      <c r="B360" s="22" t="s">
        <v>1196</v>
      </c>
      <c r="C360" s="14" t="s">
        <v>1206</v>
      </c>
      <c r="D360" s="23" t="s">
        <v>35</v>
      </c>
      <c r="E360" s="23" t="s">
        <v>35</v>
      </c>
      <c r="F360" s="23" t="s">
        <v>35</v>
      </c>
      <c r="G360" s="23" t="s">
        <v>35</v>
      </c>
      <c r="H360" s="23" t="s">
        <v>35</v>
      </c>
      <c r="I360" s="23" t="s">
        <v>35</v>
      </c>
      <c r="J360" s="23" t="s">
        <v>35</v>
      </c>
      <c r="K360" s="23" t="s">
        <v>35</v>
      </c>
      <c r="L360" s="23" t="s">
        <v>35</v>
      </c>
      <c r="M360" s="24">
        <f t="shared" si="25"/>
        <v>0</v>
      </c>
      <c r="N360" s="24">
        <f t="shared" si="26"/>
        <v>0</v>
      </c>
      <c r="O360" s="24">
        <f t="shared" si="27"/>
        <v>9</v>
      </c>
      <c r="P360" s="24">
        <f t="shared" si="28"/>
        <v>0</v>
      </c>
      <c r="Q360" s="25">
        <f t="shared" si="29"/>
        <v>0</v>
      </c>
      <c r="R360" s="26" t="s">
        <v>1207</v>
      </c>
    </row>
    <row r="361" spans="1:18" ht="25.5" customHeight="1" x14ac:dyDescent="0.35">
      <c r="A361" s="21">
        <v>357</v>
      </c>
      <c r="B361" s="22" t="s">
        <v>1208</v>
      </c>
      <c r="C361" s="14" t="s">
        <v>1209</v>
      </c>
      <c r="D361" s="23" t="s">
        <v>35</v>
      </c>
      <c r="E361" s="23" t="s">
        <v>35</v>
      </c>
      <c r="F361" s="23" t="s">
        <v>35</v>
      </c>
      <c r="G361" s="23" t="s">
        <v>35</v>
      </c>
      <c r="H361" s="23" t="s">
        <v>35</v>
      </c>
      <c r="I361" s="23" t="s">
        <v>35</v>
      </c>
      <c r="J361" s="23" t="s">
        <v>35</v>
      </c>
      <c r="K361" s="23" t="s">
        <v>35</v>
      </c>
      <c r="L361" s="23" t="s">
        <v>35</v>
      </c>
      <c r="M361" s="24">
        <f t="shared" si="25"/>
        <v>0</v>
      </c>
      <c r="N361" s="24">
        <f t="shared" si="26"/>
        <v>0</v>
      </c>
      <c r="O361" s="24">
        <f t="shared" si="27"/>
        <v>9</v>
      </c>
      <c r="P361" s="24">
        <f t="shared" si="28"/>
        <v>0</v>
      </c>
      <c r="Q361" s="25">
        <f t="shared" si="29"/>
        <v>0</v>
      </c>
      <c r="R361" s="26" t="s">
        <v>1210</v>
      </c>
    </row>
    <row r="362" spans="1:18" ht="25.5" customHeight="1" x14ac:dyDescent="0.35">
      <c r="A362" s="21">
        <v>358</v>
      </c>
      <c r="B362" s="22" t="s">
        <v>1208</v>
      </c>
      <c r="C362" s="14" t="s">
        <v>1211</v>
      </c>
      <c r="D362" s="23" t="s">
        <v>35</v>
      </c>
      <c r="E362" s="23" t="s">
        <v>35</v>
      </c>
      <c r="F362" s="23" t="s">
        <v>35</v>
      </c>
      <c r="G362" s="23" t="s">
        <v>35</v>
      </c>
      <c r="H362" s="23" t="s">
        <v>35</v>
      </c>
      <c r="I362" s="23" t="s">
        <v>35</v>
      </c>
      <c r="J362" s="23" t="s">
        <v>35</v>
      </c>
      <c r="K362" s="23" t="s">
        <v>35</v>
      </c>
      <c r="L362" s="23" t="s">
        <v>35</v>
      </c>
      <c r="M362" s="24">
        <f t="shared" si="25"/>
        <v>0</v>
      </c>
      <c r="N362" s="24">
        <f t="shared" si="26"/>
        <v>0</v>
      </c>
      <c r="O362" s="24">
        <f t="shared" si="27"/>
        <v>9</v>
      </c>
      <c r="P362" s="24">
        <f t="shared" si="28"/>
        <v>0</v>
      </c>
      <c r="Q362" s="25">
        <f t="shared" si="29"/>
        <v>0</v>
      </c>
      <c r="R362" s="26" t="s">
        <v>1212</v>
      </c>
    </row>
    <row r="363" spans="1:18" ht="25.5" customHeight="1" x14ac:dyDescent="0.35">
      <c r="A363" s="21">
        <v>359</v>
      </c>
      <c r="B363" s="22" t="s">
        <v>1208</v>
      </c>
      <c r="C363" s="14" t="s">
        <v>1213</v>
      </c>
      <c r="D363" s="23" t="s">
        <v>35</v>
      </c>
      <c r="E363" s="23" t="s">
        <v>33</v>
      </c>
      <c r="F363" s="23" t="s">
        <v>33</v>
      </c>
      <c r="G363" s="23" t="s">
        <v>35</v>
      </c>
      <c r="H363" s="23" t="s">
        <v>35</v>
      </c>
      <c r="I363" s="23" t="s">
        <v>35</v>
      </c>
      <c r="J363" s="23" t="s">
        <v>35</v>
      </c>
      <c r="K363" s="23" t="s">
        <v>35</v>
      </c>
      <c r="L363" s="23" t="s">
        <v>35</v>
      </c>
      <c r="M363" s="24">
        <f t="shared" si="25"/>
        <v>0</v>
      </c>
      <c r="N363" s="24">
        <f t="shared" si="26"/>
        <v>2</v>
      </c>
      <c r="O363" s="24">
        <f t="shared" si="27"/>
        <v>7</v>
      </c>
      <c r="P363" s="24">
        <f t="shared" si="28"/>
        <v>0</v>
      </c>
      <c r="Q363" s="25">
        <f t="shared" si="29"/>
        <v>0.1111111111111111</v>
      </c>
      <c r="R363" s="26" t="s">
        <v>852</v>
      </c>
    </row>
    <row r="364" spans="1:18" ht="25.5" customHeight="1" x14ac:dyDescent="0.35">
      <c r="A364" s="21">
        <v>360</v>
      </c>
      <c r="B364" s="22" t="s">
        <v>1208</v>
      </c>
      <c r="C364" s="14" t="s">
        <v>1214</v>
      </c>
      <c r="D364" s="23" t="s">
        <v>35</v>
      </c>
      <c r="E364" s="23" t="s">
        <v>35</v>
      </c>
      <c r="F364" s="23" t="s">
        <v>33</v>
      </c>
      <c r="G364" s="23" t="s">
        <v>35</v>
      </c>
      <c r="H364" s="23" t="s">
        <v>35</v>
      </c>
      <c r="I364" s="23" t="s">
        <v>35</v>
      </c>
      <c r="J364" s="23" t="s">
        <v>35</v>
      </c>
      <c r="K364" s="23" t="s">
        <v>35</v>
      </c>
      <c r="L364" s="23" t="s">
        <v>35</v>
      </c>
      <c r="M364" s="24">
        <f t="shared" si="25"/>
        <v>0</v>
      </c>
      <c r="N364" s="24">
        <f t="shared" si="26"/>
        <v>1</v>
      </c>
      <c r="O364" s="24">
        <f t="shared" si="27"/>
        <v>8</v>
      </c>
      <c r="P364" s="24">
        <f t="shared" si="28"/>
        <v>0</v>
      </c>
      <c r="Q364" s="25">
        <f t="shared" si="29"/>
        <v>5.5555555555555552E-2</v>
      </c>
      <c r="R364" s="26" t="s">
        <v>1215</v>
      </c>
    </row>
    <row r="365" spans="1:18" ht="25.5" customHeight="1" x14ac:dyDescent="0.35">
      <c r="A365" s="21">
        <v>361</v>
      </c>
      <c r="B365" s="22" t="s">
        <v>1208</v>
      </c>
      <c r="C365" s="14" t="s">
        <v>1216</v>
      </c>
      <c r="D365" s="23" t="s">
        <v>35</v>
      </c>
      <c r="E365" s="23" t="s">
        <v>35</v>
      </c>
      <c r="F365" s="23" t="s">
        <v>35</v>
      </c>
      <c r="G365" s="23" t="s">
        <v>35</v>
      </c>
      <c r="H365" s="23" t="s">
        <v>35</v>
      </c>
      <c r="I365" s="23" t="s">
        <v>35</v>
      </c>
      <c r="J365" s="23" t="s">
        <v>35</v>
      </c>
      <c r="K365" s="23" t="s">
        <v>35</v>
      </c>
      <c r="L365" s="23" t="s">
        <v>35</v>
      </c>
      <c r="M365" s="24">
        <f t="shared" si="25"/>
        <v>0</v>
      </c>
      <c r="N365" s="24">
        <f t="shared" si="26"/>
        <v>0</v>
      </c>
      <c r="O365" s="24">
        <f t="shared" si="27"/>
        <v>9</v>
      </c>
      <c r="P365" s="24">
        <f t="shared" si="28"/>
        <v>0</v>
      </c>
      <c r="Q365" s="25">
        <f t="shared" si="29"/>
        <v>0</v>
      </c>
      <c r="R365" s="26" t="s">
        <v>1217</v>
      </c>
    </row>
    <row r="366" spans="1:18" ht="25.5" customHeight="1" x14ac:dyDescent="0.35">
      <c r="A366" s="21">
        <v>362</v>
      </c>
      <c r="B366" s="22" t="s">
        <v>1218</v>
      </c>
      <c r="C366" s="14" t="s">
        <v>1219</v>
      </c>
      <c r="D366" s="23" t="s">
        <v>35</v>
      </c>
      <c r="E366" s="23" t="s">
        <v>35</v>
      </c>
      <c r="F366" s="23" t="s">
        <v>35</v>
      </c>
      <c r="G366" s="23" t="s">
        <v>35</v>
      </c>
      <c r="H366" s="23" t="s">
        <v>35</v>
      </c>
      <c r="I366" s="23" t="s">
        <v>35</v>
      </c>
      <c r="J366" s="23" t="s">
        <v>35</v>
      </c>
      <c r="K366" s="23" t="s">
        <v>35</v>
      </c>
      <c r="L366" s="23" t="s">
        <v>35</v>
      </c>
      <c r="M366" s="24">
        <f t="shared" si="25"/>
        <v>0</v>
      </c>
      <c r="N366" s="24">
        <f t="shared" si="26"/>
        <v>0</v>
      </c>
      <c r="O366" s="24">
        <f t="shared" si="27"/>
        <v>9</v>
      </c>
      <c r="P366" s="24">
        <f t="shared" si="28"/>
        <v>0</v>
      </c>
      <c r="Q366" s="25">
        <f t="shared" si="29"/>
        <v>0</v>
      </c>
      <c r="R366" s="26" t="s">
        <v>1220</v>
      </c>
    </row>
    <row r="367" spans="1:18" ht="25.5" customHeight="1" x14ac:dyDescent="0.35">
      <c r="A367" s="21">
        <v>363</v>
      </c>
      <c r="B367" s="22" t="s">
        <v>1218</v>
      </c>
      <c r="C367" s="14" t="s">
        <v>1221</v>
      </c>
      <c r="D367" s="23" t="s">
        <v>35</v>
      </c>
      <c r="E367" s="23" t="s">
        <v>35</v>
      </c>
      <c r="F367" s="23" t="s">
        <v>35</v>
      </c>
      <c r="G367" s="23" t="s">
        <v>35</v>
      </c>
      <c r="H367" s="23" t="s">
        <v>35</v>
      </c>
      <c r="I367" s="23" t="s">
        <v>35</v>
      </c>
      <c r="J367" s="23" t="s">
        <v>35</v>
      </c>
      <c r="K367" s="23" t="s">
        <v>35</v>
      </c>
      <c r="L367" s="23" t="s">
        <v>35</v>
      </c>
      <c r="M367" s="24">
        <f t="shared" si="25"/>
        <v>0</v>
      </c>
      <c r="N367" s="24">
        <f t="shared" si="26"/>
        <v>0</v>
      </c>
      <c r="O367" s="24">
        <f t="shared" si="27"/>
        <v>9</v>
      </c>
      <c r="P367" s="24">
        <f t="shared" si="28"/>
        <v>0</v>
      </c>
      <c r="Q367" s="25">
        <f t="shared" si="29"/>
        <v>0</v>
      </c>
      <c r="R367" s="26" t="s">
        <v>798</v>
      </c>
    </row>
    <row r="368" spans="1:18" ht="25.5" customHeight="1" x14ac:dyDescent="0.35">
      <c r="A368" s="21">
        <v>364</v>
      </c>
      <c r="B368" s="22" t="s">
        <v>1218</v>
      </c>
      <c r="C368" s="14" t="s">
        <v>1222</v>
      </c>
      <c r="D368" s="23" t="s">
        <v>35</v>
      </c>
      <c r="E368" s="23" t="s">
        <v>35</v>
      </c>
      <c r="F368" s="23" t="s">
        <v>35</v>
      </c>
      <c r="G368" s="23" t="s">
        <v>35</v>
      </c>
      <c r="H368" s="23" t="s">
        <v>35</v>
      </c>
      <c r="I368" s="23" t="s">
        <v>35</v>
      </c>
      <c r="J368" s="23" t="s">
        <v>35</v>
      </c>
      <c r="K368" s="23" t="s">
        <v>35</v>
      </c>
      <c r="L368" s="23" t="s">
        <v>35</v>
      </c>
      <c r="M368" s="24">
        <f t="shared" si="25"/>
        <v>0</v>
      </c>
      <c r="N368" s="24">
        <f t="shared" si="26"/>
        <v>0</v>
      </c>
      <c r="O368" s="24">
        <f t="shared" si="27"/>
        <v>9</v>
      </c>
      <c r="P368" s="24">
        <f t="shared" si="28"/>
        <v>0</v>
      </c>
      <c r="Q368" s="25">
        <f t="shared" si="29"/>
        <v>0</v>
      </c>
      <c r="R368" s="26" t="s">
        <v>798</v>
      </c>
    </row>
    <row r="369" spans="1:18" ht="25.5" customHeight="1" x14ac:dyDescent="0.35">
      <c r="A369" s="21">
        <v>365</v>
      </c>
      <c r="B369" s="22" t="s">
        <v>1218</v>
      </c>
      <c r="C369" s="14" t="s">
        <v>1223</v>
      </c>
      <c r="D369" s="23" t="s">
        <v>35</v>
      </c>
      <c r="E369" s="23" t="s">
        <v>33</v>
      </c>
      <c r="F369" s="23" t="s">
        <v>35</v>
      </c>
      <c r="G369" s="23" t="s">
        <v>35</v>
      </c>
      <c r="H369" s="23" t="s">
        <v>35</v>
      </c>
      <c r="I369" s="23" t="s">
        <v>33</v>
      </c>
      <c r="J369" s="23" t="s">
        <v>35</v>
      </c>
      <c r="K369" s="23" t="s">
        <v>33</v>
      </c>
      <c r="L369" s="23" t="s">
        <v>35</v>
      </c>
      <c r="M369" s="24">
        <f t="shared" si="25"/>
        <v>0</v>
      </c>
      <c r="N369" s="24">
        <f t="shared" si="26"/>
        <v>3</v>
      </c>
      <c r="O369" s="24">
        <f t="shared" si="27"/>
        <v>6</v>
      </c>
      <c r="P369" s="24">
        <f t="shared" si="28"/>
        <v>0</v>
      </c>
      <c r="Q369" s="25">
        <f t="shared" si="29"/>
        <v>0.16666666666666666</v>
      </c>
      <c r="R369" s="26" t="s">
        <v>1224</v>
      </c>
    </row>
    <row r="370" spans="1:18" ht="25.5" customHeight="1" x14ac:dyDescent="0.35">
      <c r="A370" s="21">
        <v>366</v>
      </c>
      <c r="B370" s="22" t="s">
        <v>1218</v>
      </c>
      <c r="C370" s="14" t="s">
        <v>1225</v>
      </c>
      <c r="D370" s="23" t="s">
        <v>37</v>
      </c>
      <c r="E370" s="23" t="s">
        <v>37</v>
      </c>
      <c r="F370" s="23" t="s">
        <v>37</v>
      </c>
      <c r="G370" s="23" t="s">
        <v>37</v>
      </c>
      <c r="H370" s="23" t="s">
        <v>37</v>
      </c>
      <c r="I370" s="23" t="s">
        <v>37</v>
      </c>
      <c r="J370" s="23" t="s">
        <v>37</v>
      </c>
      <c r="K370" s="23" t="s">
        <v>37</v>
      </c>
      <c r="L370" s="23" t="s">
        <v>37</v>
      </c>
      <c r="M370" s="24">
        <f t="shared" si="25"/>
        <v>0</v>
      </c>
      <c r="N370" s="24">
        <f t="shared" si="26"/>
        <v>0</v>
      </c>
      <c r="O370" s="24">
        <f t="shared" si="27"/>
        <v>0</v>
      </c>
      <c r="P370" s="24">
        <f t="shared" si="28"/>
        <v>9</v>
      </c>
      <c r="Q370" s="25">
        <f t="shared" si="29"/>
        <v>0</v>
      </c>
      <c r="R370" s="26" t="s">
        <v>1226</v>
      </c>
    </row>
    <row r="371" spans="1:18" ht="25.5" customHeight="1" x14ac:dyDescent="0.35">
      <c r="A371" s="21">
        <v>367</v>
      </c>
      <c r="B371" s="22" t="s">
        <v>1218</v>
      </c>
      <c r="C371" s="14" t="s">
        <v>1227</v>
      </c>
      <c r="D371" s="23" t="s">
        <v>33</v>
      </c>
      <c r="E371" s="23" t="s">
        <v>31</v>
      </c>
      <c r="F371" s="23" t="s">
        <v>35</v>
      </c>
      <c r="G371" s="23" t="s">
        <v>35</v>
      </c>
      <c r="H371" s="23" t="s">
        <v>35</v>
      </c>
      <c r="I371" s="23" t="s">
        <v>35</v>
      </c>
      <c r="J371" s="23" t="s">
        <v>33</v>
      </c>
      <c r="K371" s="23" t="s">
        <v>33</v>
      </c>
      <c r="L371" s="23" t="s">
        <v>35</v>
      </c>
      <c r="M371" s="24">
        <f t="shared" si="25"/>
        <v>1</v>
      </c>
      <c r="N371" s="24">
        <f t="shared" si="26"/>
        <v>3</v>
      </c>
      <c r="O371" s="24">
        <f t="shared" si="27"/>
        <v>5</v>
      </c>
      <c r="P371" s="24">
        <f t="shared" si="28"/>
        <v>0</v>
      </c>
      <c r="Q371" s="25">
        <f t="shared" si="29"/>
        <v>0.27777777777777779</v>
      </c>
      <c r="R371" s="26" t="s">
        <v>1228</v>
      </c>
    </row>
    <row r="372" spans="1:18" ht="25.5" customHeight="1" x14ac:dyDescent="0.35">
      <c r="A372" s="21">
        <v>368</v>
      </c>
      <c r="B372" s="22" t="s">
        <v>1218</v>
      </c>
      <c r="C372" s="14" t="s">
        <v>1229</v>
      </c>
      <c r="D372" s="23" t="s">
        <v>33</v>
      </c>
      <c r="E372" s="23" t="s">
        <v>31</v>
      </c>
      <c r="F372" s="23" t="s">
        <v>33</v>
      </c>
      <c r="G372" s="23" t="s">
        <v>33</v>
      </c>
      <c r="H372" s="23" t="s">
        <v>35</v>
      </c>
      <c r="I372" s="23" t="s">
        <v>33</v>
      </c>
      <c r="J372" s="23" t="s">
        <v>33</v>
      </c>
      <c r="K372" s="23" t="s">
        <v>33</v>
      </c>
      <c r="L372" s="23" t="s">
        <v>35</v>
      </c>
      <c r="M372" s="24">
        <f t="shared" si="25"/>
        <v>1</v>
      </c>
      <c r="N372" s="24">
        <f t="shared" si="26"/>
        <v>6</v>
      </c>
      <c r="O372" s="24">
        <f t="shared" si="27"/>
        <v>2</v>
      </c>
      <c r="P372" s="24">
        <f t="shared" si="28"/>
        <v>0</v>
      </c>
      <c r="Q372" s="25">
        <f t="shared" si="29"/>
        <v>0.44444444444444442</v>
      </c>
      <c r="R372" s="26" t="s">
        <v>1230</v>
      </c>
    </row>
    <row r="373" spans="1:18" ht="25.5" customHeight="1" x14ac:dyDescent="0.35">
      <c r="A373" s="21">
        <v>369</v>
      </c>
      <c r="B373" s="22" t="s">
        <v>1231</v>
      </c>
      <c r="C373" s="14" t="s">
        <v>1232</v>
      </c>
      <c r="D373" s="23" t="s">
        <v>35</v>
      </c>
      <c r="E373" s="23" t="s">
        <v>35</v>
      </c>
      <c r="F373" s="23" t="s">
        <v>35</v>
      </c>
      <c r="G373" s="23" t="s">
        <v>35</v>
      </c>
      <c r="H373" s="23" t="s">
        <v>35</v>
      </c>
      <c r="I373" s="23" t="s">
        <v>35</v>
      </c>
      <c r="J373" s="23" t="s">
        <v>35</v>
      </c>
      <c r="K373" s="23" t="s">
        <v>35</v>
      </c>
      <c r="L373" s="23" t="s">
        <v>35</v>
      </c>
      <c r="M373" s="24">
        <f t="shared" si="25"/>
        <v>0</v>
      </c>
      <c r="N373" s="24">
        <f t="shared" si="26"/>
        <v>0</v>
      </c>
      <c r="O373" s="24">
        <f t="shared" si="27"/>
        <v>9</v>
      </c>
      <c r="P373" s="24">
        <f t="shared" si="28"/>
        <v>0</v>
      </c>
      <c r="Q373" s="25">
        <f t="shared" si="29"/>
        <v>0</v>
      </c>
      <c r="R373" s="26" t="s">
        <v>1233</v>
      </c>
    </row>
    <row r="374" spans="1:18" ht="25.5" customHeight="1" x14ac:dyDescent="0.35">
      <c r="A374" s="21">
        <v>370</v>
      </c>
      <c r="B374" s="22" t="s">
        <v>1231</v>
      </c>
      <c r="C374" s="14" t="s">
        <v>1234</v>
      </c>
      <c r="D374" s="23" t="s">
        <v>35</v>
      </c>
      <c r="E374" s="23" t="s">
        <v>35</v>
      </c>
      <c r="F374" s="23" t="s">
        <v>35</v>
      </c>
      <c r="G374" s="23" t="s">
        <v>35</v>
      </c>
      <c r="H374" s="23" t="s">
        <v>35</v>
      </c>
      <c r="I374" s="23" t="s">
        <v>35</v>
      </c>
      <c r="J374" s="23" t="s">
        <v>35</v>
      </c>
      <c r="K374" s="23" t="s">
        <v>35</v>
      </c>
      <c r="L374" s="23" t="s">
        <v>35</v>
      </c>
      <c r="M374" s="24">
        <f t="shared" si="25"/>
        <v>0</v>
      </c>
      <c r="N374" s="24">
        <f t="shared" si="26"/>
        <v>0</v>
      </c>
      <c r="O374" s="24">
        <f t="shared" si="27"/>
        <v>9</v>
      </c>
      <c r="P374" s="24">
        <f t="shared" si="28"/>
        <v>0</v>
      </c>
      <c r="Q374" s="25">
        <f t="shared" si="29"/>
        <v>0</v>
      </c>
      <c r="R374" s="26" t="s">
        <v>1189</v>
      </c>
    </row>
    <row r="375" spans="1:18" ht="25.5" customHeight="1" x14ac:dyDescent="0.35">
      <c r="A375" s="21">
        <v>371</v>
      </c>
      <c r="B375" s="22" t="s">
        <v>1231</v>
      </c>
      <c r="C375" s="14" t="s">
        <v>1235</v>
      </c>
      <c r="D375" s="23" t="s">
        <v>35</v>
      </c>
      <c r="E375" s="23" t="s">
        <v>35</v>
      </c>
      <c r="F375" s="23" t="s">
        <v>35</v>
      </c>
      <c r="G375" s="23" t="s">
        <v>35</v>
      </c>
      <c r="H375" s="23" t="s">
        <v>35</v>
      </c>
      <c r="I375" s="23" t="s">
        <v>35</v>
      </c>
      <c r="J375" s="23" t="s">
        <v>35</v>
      </c>
      <c r="K375" s="23" t="s">
        <v>35</v>
      </c>
      <c r="L375" s="23" t="s">
        <v>35</v>
      </c>
      <c r="M375" s="24">
        <f t="shared" si="25"/>
        <v>0</v>
      </c>
      <c r="N375" s="24">
        <f t="shared" si="26"/>
        <v>0</v>
      </c>
      <c r="O375" s="24">
        <f t="shared" si="27"/>
        <v>9</v>
      </c>
      <c r="P375" s="24">
        <f t="shared" si="28"/>
        <v>0</v>
      </c>
      <c r="Q375" s="25">
        <f t="shared" si="29"/>
        <v>0</v>
      </c>
      <c r="R375" s="26" t="s">
        <v>1189</v>
      </c>
    </row>
    <row r="376" spans="1:18" ht="25.5" customHeight="1" x14ac:dyDescent="0.35">
      <c r="A376" s="21">
        <v>372</v>
      </c>
      <c r="B376" s="22" t="s">
        <v>1231</v>
      </c>
      <c r="C376" s="14" t="s">
        <v>1236</v>
      </c>
      <c r="D376" s="23" t="s">
        <v>33</v>
      </c>
      <c r="E376" s="23" t="s">
        <v>31</v>
      </c>
      <c r="F376" s="23" t="s">
        <v>31</v>
      </c>
      <c r="G376" s="23" t="s">
        <v>35</v>
      </c>
      <c r="H376" s="23" t="s">
        <v>31</v>
      </c>
      <c r="I376" s="23" t="s">
        <v>37</v>
      </c>
      <c r="J376" s="23" t="s">
        <v>33</v>
      </c>
      <c r="K376" s="23" t="s">
        <v>31</v>
      </c>
      <c r="L376" s="23" t="s">
        <v>35</v>
      </c>
      <c r="M376" s="24">
        <f t="shared" si="25"/>
        <v>4</v>
      </c>
      <c r="N376" s="24">
        <f t="shared" si="26"/>
        <v>2</v>
      </c>
      <c r="O376" s="24">
        <f t="shared" si="27"/>
        <v>2</v>
      </c>
      <c r="P376" s="24">
        <f t="shared" si="28"/>
        <v>1</v>
      </c>
      <c r="Q376" s="25">
        <f t="shared" si="29"/>
        <v>0.55555555555555558</v>
      </c>
      <c r="R376" s="26" t="s">
        <v>1237</v>
      </c>
    </row>
    <row r="377" spans="1:18" ht="25.5" customHeight="1" x14ac:dyDescent="0.35">
      <c r="A377" s="21">
        <v>373</v>
      </c>
      <c r="B377" s="22" t="s">
        <v>1231</v>
      </c>
      <c r="C377" s="14" t="s">
        <v>1238</v>
      </c>
      <c r="D377" s="23" t="s">
        <v>35</v>
      </c>
      <c r="E377" s="23" t="s">
        <v>35</v>
      </c>
      <c r="F377" s="23" t="s">
        <v>35</v>
      </c>
      <c r="G377" s="23" t="s">
        <v>35</v>
      </c>
      <c r="H377" s="23" t="s">
        <v>35</v>
      </c>
      <c r="I377" s="23" t="s">
        <v>35</v>
      </c>
      <c r="J377" s="23" t="s">
        <v>35</v>
      </c>
      <c r="K377" s="23" t="s">
        <v>35</v>
      </c>
      <c r="L377" s="23" t="s">
        <v>35</v>
      </c>
      <c r="M377" s="24">
        <f t="shared" si="25"/>
        <v>0</v>
      </c>
      <c r="N377" s="24">
        <f t="shared" si="26"/>
        <v>0</v>
      </c>
      <c r="O377" s="24">
        <f t="shared" si="27"/>
        <v>9</v>
      </c>
      <c r="P377" s="24">
        <f t="shared" si="28"/>
        <v>0</v>
      </c>
      <c r="Q377" s="25">
        <f t="shared" si="29"/>
        <v>0</v>
      </c>
      <c r="R377" s="26" t="s">
        <v>798</v>
      </c>
    </row>
    <row r="378" spans="1:18" ht="25.5" customHeight="1" x14ac:dyDescent="0.35">
      <c r="A378" s="21">
        <v>374</v>
      </c>
      <c r="B378" s="22" t="s">
        <v>1239</v>
      </c>
      <c r="C378" s="14" t="s">
        <v>1091</v>
      </c>
      <c r="D378" s="23" t="s">
        <v>35</v>
      </c>
      <c r="E378" s="23" t="s">
        <v>35</v>
      </c>
      <c r="F378" s="23" t="s">
        <v>35</v>
      </c>
      <c r="G378" s="23" t="s">
        <v>35</v>
      </c>
      <c r="H378" s="23" t="s">
        <v>35</v>
      </c>
      <c r="I378" s="23" t="s">
        <v>35</v>
      </c>
      <c r="J378" s="23" t="s">
        <v>35</v>
      </c>
      <c r="K378" s="23" t="s">
        <v>35</v>
      </c>
      <c r="L378" s="23" t="s">
        <v>35</v>
      </c>
      <c r="M378" s="24">
        <f t="shared" si="25"/>
        <v>0</v>
      </c>
      <c r="N378" s="24">
        <f t="shared" si="26"/>
        <v>0</v>
      </c>
      <c r="O378" s="24">
        <f t="shared" si="27"/>
        <v>9</v>
      </c>
      <c r="P378" s="24">
        <f t="shared" si="28"/>
        <v>0</v>
      </c>
      <c r="Q378" s="25">
        <f t="shared" si="29"/>
        <v>0</v>
      </c>
      <c r="R378" s="26" t="s">
        <v>1094</v>
      </c>
    </row>
    <row r="379" spans="1:18" ht="25.5" customHeight="1" x14ac:dyDescent="0.35">
      <c r="A379" s="21">
        <v>375</v>
      </c>
      <c r="B379" s="22" t="s">
        <v>1239</v>
      </c>
      <c r="C379" s="14" t="s">
        <v>1240</v>
      </c>
      <c r="D379" s="23" t="s">
        <v>35</v>
      </c>
      <c r="E379" s="23" t="s">
        <v>35</v>
      </c>
      <c r="F379" s="23" t="s">
        <v>35</v>
      </c>
      <c r="G379" s="23" t="s">
        <v>35</v>
      </c>
      <c r="H379" s="23" t="s">
        <v>35</v>
      </c>
      <c r="I379" s="23" t="s">
        <v>35</v>
      </c>
      <c r="J379" s="23" t="s">
        <v>35</v>
      </c>
      <c r="K379" s="23" t="s">
        <v>35</v>
      </c>
      <c r="L379" s="23" t="s">
        <v>35</v>
      </c>
      <c r="M379" s="24">
        <f t="shared" si="25"/>
        <v>0</v>
      </c>
      <c r="N379" s="24">
        <f t="shared" si="26"/>
        <v>0</v>
      </c>
      <c r="O379" s="24">
        <f t="shared" si="27"/>
        <v>9</v>
      </c>
      <c r="P379" s="24">
        <f t="shared" si="28"/>
        <v>0</v>
      </c>
      <c r="Q379" s="25">
        <f t="shared" si="29"/>
        <v>0</v>
      </c>
      <c r="R379" s="26" t="s">
        <v>1241</v>
      </c>
    </row>
    <row r="380" spans="1:18" ht="25.5" customHeight="1" x14ac:dyDescent="0.35">
      <c r="A380" s="21">
        <v>376</v>
      </c>
      <c r="B380" s="22" t="s">
        <v>1239</v>
      </c>
      <c r="C380" s="14" t="s">
        <v>1242</v>
      </c>
      <c r="D380" s="23" t="s">
        <v>33</v>
      </c>
      <c r="E380" s="23" t="s">
        <v>33</v>
      </c>
      <c r="F380" s="23" t="s">
        <v>33</v>
      </c>
      <c r="G380" s="23" t="s">
        <v>33</v>
      </c>
      <c r="H380" s="23" t="s">
        <v>33</v>
      </c>
      <c r="I380" s="23" t="s">
        <v>35</v>
      </c>
      <c r="J380" s="23" t="s">
        <v>33</v>
      </c>
      <c r="K380" s="23" t="s">
        <v>33</v>
      </c>
      <c r="L380" s="23" t="s">
        <v>35</v>
      </c>
      <c r="M380" s="24">
        <f t="shared" si="25"/>
        <v>0</v>
      </c>
      <c r="N380" s="24">
        <f t="shared" si="26"/>
        <v>7</v>
      </c>
      <c r="O380" s="24">
        <f t="shared" si="27"/>
        <v>2</v>
      </c>
      <c r="P380" s="24">
        <f t="shared" si="28"/>
        <v>0</v>
      </c>
      <c r="Q380" s="25">
        <f t="shared" si="29"/>
        <v>0.3888888888888889</v>
      </c>
      <c r="R380" s="26" t="s">
        <v>1243</v>
      </c>
    </row>
    <row r="381" spans="1:18" ht="25.5" customHeight="1" x14ac:dyDescent="0.35">
      <c r="A381" s="21">
        <v>377</v>
      </c>
      <c r="B381" s="22" t="s">
        <v>1239</v>
      </c>
      <c r="C381" s="14" t="s">
        <v>1244</v>
      </c>
      <c r="D381" s="23" t="s">
        <v>35</v>
      </c>
      <c r="E381" s="23" t="s">
        <v>35</v>
      </c>
      <c r="F381" s="23" t="s">
        <v>35</v>
      </c>
      <c r="G381" s="23" t="s">
        <v>35</v>
      </c>
      <c r="H381" s="23" t="s">
        <v>33</v>
      </c>
      <c r="I381" s="23" t="s">
        <v>35</v>
      </c>
      <c r="J381" s="23" t="s">
        <v>35</v>
      </c>
      <c r="K381" s="23" t="s">
        <v>35</v>
      </c>
      <c r="L381" s="23" t="s">
        <v>35</v>
      </c>
      <c r="M381" s="24">
        <f t="shared" si="25"/>
        <v>0</v>
      </c>
      <c r="N381" s="24">
        <f t="shared" si="26"/>
        <v>1</v>
      </c>
      <c r="O381" s="24">
        <f t="shared" si="27"/>
        <v>8</v>
      </c>
      <c r="P381" s="24">
        <f t="shared" si="28"/>
        <v>0</v>
      </c>
      <c r="Q381" s="25">
        <f t="shared" si="29"/>
        <v>5.5555555555555552E-2</v>
      </c>
      <c r="R381" s="26" t="s">
        <v>1245</v>
      </c>
    </row>
    <row r="382" spans="1:18" ht="25.5" customHeight="1" x14ac:dyDescent="0.35">
      <c r="A382" s="21">
        <v>378</v>
      </c>
      <c r="B382" s="22" t="s">
        <v>1239</v>
      </c>
      <c r="C382" s="14" t="s">
        <v>1246</v>
      </c>
      <c r="D382" s="23" t="s">
        <v>33</v>
      </c>
      <c r="E382" s="23" t="s">
        <v>33</v>
      </c>
      <c r="F382" s="23" t="s">
        <v>33</v>
      </c>
      <c r="G382" s="23" t="s">
        <v>33</v>
      </c>
      <c r="H382" s="23" t="s">
        <v>35</v>
      </c>
      <c r="I382" s="23" t="s">
        <v>33</v>
      </c>
      <c r="J382" s="23" t="s">
        <v>35</v>
      </c>
      <c r="K382" s="23" t="s">
        <v>35</v>
      </c>
      <c r="L382" s="23" t="s">
        <v>35</v>
      </c>
      <c r="M382" s="24">
        <f t="shared" si="25"/>
        <v>0</v>
      </c>
      <c r="N382" s="24">
        <f t="shared" si="26"/>
        <v>5</v>
      </c>
      <c r="O382" s="24">
        <f t="shared" si="27"/>
        <v>4</v>
      </c>
      <c r="P382" s="24">
        <f t="shared" si="28"/>
        <v>0</v>
      </c>
      <c r="Q382" s="25">
        <f t="shared" si="29"/>
        <v>0.27777777777777779</v>
      </c>
      <c r="R382" s="26"/>
    </row>
    <row r="383" spans="1:18" ht="25.5" customHeight="1" x14ac:dyDescent="0.35">
      <c r="A383" s="21">
        <v>379</v>
      </c>
      <c r="B383" s="22" t="s">
        <v>1247</v>
      </c>
      <c r="C383" s="14" t="s">
        <v>1248</v>
      </c>
      <c r="D383" s="23" t="s">
        <v>33</v>
      </c>
      <c r="E383" s="23" t="s">
        <v>31</v>
      </c>
      <c r="F383" s="23" t="s">
        <v>33</v>
      </c>
      <c r="G383" s="23" t="s">
        <v>31</v>
      </c>
      <c r="H383" s="23" t="s">
        <v>35</v>
      </c>
      <c r="I383" s="23" t="s">
        <v>31</v>
      </c>
      <c r="J383" s="23" t="s">
        <v>31</v>
      </c>
      <c r="K383" s="23" t="s">
        <v>33</v>
      </c>
      <c r="L383" s="23" t="s">
        <v>35</v>
      </c>
      <c r="M383" s="24">
        <f t="shared" si="25"/>
        <v>4</v>
      </c>
      <c r="N383" s="24">
        <f t="shared" si="26"/>
        <v>3</v>
      </c>
      <c r="O383" s="24">
        <f t="shared" si="27"/>
        <v>2</v>
      </c>
      <c r="P383" s="24">
        <f t="shared" si="28"/>
        <v>0</v>
      </c>
      <c r="Q383" s="25">
        <f t="shared" si="29"/>
        <v>0.61111111111111116</v>
      </c>
      <c r="R383" s="26" t="s">
        <v>1249</v>
      </c>
    </row>
    <row r="384" spans="1:18" ht="25.5" customHeight="1" x14ac:dyDescent="0.35">
      <c r="A384" s="21">
        <v>380</v>
      </c>
      <c r="B384" s="22" t="s">
        <v>1247</v>
      </c>
      <c r="C384" s="14" t="s">
        <v>1250</v>
      </c>
      <c r="D384" s="23" t="s">
        <v>35</v>
      </c>
      <c r="E384" s="23" t="s">
        <v>35</v>
      </c>
      <c r="F384" s="23" t="s">
        <v>35</v>
      </c>
      <c r="G384" s="23" t="s">
        <v>31</v>
      </c>
      <c r="H384" s="23" t="s">
        <v>35</v>
      </c>
      <c r="I384" s="23" t="s">
        <v>35</v>
      </c>
      <c r="J384" s="23" t="s">
        <v>35</v>
      </c>
      <c r="K384" s="23" t="s">
        <v>35</v>
      </c>
      <c r="L384" s="23" t="s">
        <v>35</v>
      </c>
      <c r="M384" s="24">
        <f t="shared" si="25"/>
        <v>1</v>
      </c>
      <c r="N384" s="24">
        <f t="shared" si="26"/>
        <v>0</v>
      </c>
      <c r="O384" s="24">
        <f t="shared" si="27"/>
        <v>8</v>
      </c>
      <c r="P384" s="24">
        <f t="shared" si="28"/>
        <v>0</v>
      </c>
      <c r="Q384" s="25">
        <f t="shared" si="29"/>
        <v>0.1111111111111111</v>
      </c>
      <c r="R384" s="26" t="s">
        <v>1251</v>
      </c>
    </row>
    <row r="385" spans="1:18" ht="25.5" customHeight="1" x14ac:dyDescent="0.35">
      <c r="A385" s="21">
        <v>381</v>
      </c>
      <c r="B385" s="22" t="s">
        <v>1247</v>
      </c>
      <c r="C385" s="14" t="s">
        <v>1252</v>
      </c>
      <c r="D385" s="23" t="s">
        <v>35</v>
      </c>
      <c r="E385" s="23" t="s">
        <v>33</v>
      </c>
      <c r="F385" s="23" t="s">
        <v>579</v>
      </c>
      <c r="G385" s="23" t="s">
        <v>33</v>
      </c>
      <c r="H385" s="23" t="s">
        <v>35</v>
      </c>
      <c r="I385" s="23" t="s">
        <v>33</v>
      </c>
      <c r="J385" s="23" t="s">
        <v>33</v>
      </c>
      <c r="K385" s="23" t="s">
        <v>35</v>
      </c>
      <c r="L385" s="23" t="s">
        <v>35</v>
      </c>
      <c r="M385" s="24">
        <f t="shared" si="25"/>
        <v>0</v>
      </c>
      <c r="N385" s="24">
        <f t="shared" si="26"/>
        <v>5</v>
      </c>
      <c r="O385" s="24">
        <f t="shared" si="27"/>
        <v>4</v>
      </c>
      <c r="P385" s="24">
        <f t="shared" si="28"/>
        <v>0</v>
      </c>
      <c r="Q385" s="25">
        <f t="shared" si="29"/>
        <v>0.27777777777777779</v>
      </c>
      <c r="R385" s="26" t="s">
        <v>1253</v>
      </c>
    </row>
    <row r="386" spans="1:18" ht="25.5" customHeight="1" x14ac:dyDescent="0.35">
      <c r="A386" s="21">
        <v>382</v>
      </c>
      <c r="B386" s="22" t="s">
        <v>1247</v>
      </c>
      <c r="C386" s="14" t="s">
        <v>1254</v>
      </c>
      <c r="D386" s="23" t="s">
        <v>33</v>
      </c>
      <c r="E386" s="23" t="s">
        <v>31</v>
      </c>
      <c r="F386" s="23" t="s">
        <v>33</v>
      </c>
      <c r="G386" s="23" t="s">
        <v>33</v>
      </c>
      <c r="H386" s="23" t="s">
        <v>35</v>
      </c>
      <c r="I386" s="23" t="s">
        <v>31</v>
      </c>
      <c r="J386" s="23" t="s">
        <v>31</v>
      </c>
      <c r="K386" s="23" t="s">
        <v>33</v>
      </c>
      <c r="L386" s="23" t="s">
        <v>35</v>
      </c>
      <c r="M386" s="24">
        <f t="shared" si="25"/>
        <v>3</v>
      </c>
      <c r="N386" s="24">
        <f t="shared" si="26"/>
        <v>4</v>
      </c>
      <c r="O386" s="24">
        <f t="shared" si="27"/>
        <v>2</v>
      </c>
      <c r="P386" s="24">
        <f t="shared" si="28"/>
        <v>0</v>
      </c>
      <c r="Q386" s="25">
        <f t="shared" si="29"/>
        <v>0.55555555555555558</v>
      </c>
      <c r="R386" s="26"/>
    </row>
  </sheetData>
  <autoFilter ref="A4:R386" xr:uid="{00000000-0009-0000-0000-000004000000}"/>
  <conditionalFormatting sqref="D5:L386">
    <cfRule type="cellIs" dxfId="4" priority="2" operator="equal">
      <formula>"—"</formula>
    </cfRule>
    <cfRule type="cellIs" dxfId="3" priority="3" operator="equal">
      <formula>"?"</formula>
    </cfRule>
    <cfRule type="expression" dxfId="2" priority="4">
      <formula>ISNUMBER(SEARCH("✓",D5))</formula>
    </cfRule>
    <cfRule type="expression" dxfId="1" priority="5">
      <formula>ISNUMBER(SEARCH("◐",D5))</formula>
    </cfRule>
  </conditionalFormatting>
  <conditionalFormatting sqref="Q5:Q386">
    <cfRule type="cellIs" dxfId="0" priority="6" operator="lessThanOrEqual">
      <formula>0.15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L43"/>
  <sheetViews>
    <sheetView showGridLines="0" zoomScaleNormal="100" workbookViewId="0"/>
  </sheetViews>
  <sheetFormatPr defaultColWidth="8.6328125" defaultRowHeight="14.5" x14ac:dyDescent="0.35"/>
  <cols>
    <col min="1" max="1" width="34" customWidth="1"/>
    <col min="2" max="2" width="16" customWidth="1"/>
    <col min="3" max="12" width="13" customWidth="1"/>
  </cols>
  <sheetData>
    <row r="1" spans="1:12" ht="21.75" customHeight="1" x14ac:dyDescent="0.4">
      <c r="A1" s="7" t="s">
        <v>1255</v>
      </c>
    </row>
    <row r="2" spans="1:12" x14ac:dyDescent="0.35">
      <c r="A2" s="8" t="s">
        <v>1256</v>
      </c>
    </row>
    <row r="4" spans="1:12" ht="33.75" customHeight="1" x14ac:dyDescent="0.35">
      <c r="A4" s="9" t="s">
        <v>552</v>
      </c>
      <c r="B4" s="9" t="s">
        <v>1257</v>
      </c>
      <c r="C4" s="9" t="s">
        <v>554</v>
      </c>
      <c r="D4" s="9" t="s">
        <v>555</v>
      </c>
      <c r="E4" s="9" t="s">
        <v>556</v>
      </c>
      <c r="F4" s="9" t="s">
        <v>557</v>
      </c>
      <c r="G4" s="9" t="s">
        <v>558</v>
      </c>
      <c r="H4" s="9" t="s">
        <v>559</v>
      </c>
      <c r="I4" s="9" t="s">
        <v>560</v>
      </c>
      <c r="J4" s="9" t="s">
        <v>561</v>
      </c>
      <c r="K4" s="9" t="s">
        <v>562</v>
      </c>
      <c r="L4" s="9" t="s">
        <v>1258</v>
      </c>
    </row>
    <row r="5" spans="1:12" ht="19.5" customHeight="1" x14ac:dyDescent="0.35">
      <c r="A5" s="15" t="s">
        <v>569</v>
      </c>
      <c r="B5" s="23">
        <f>COUNTIF('5. Feature Matrix'!$B$5:$B$386,$A5)</f>
        <v>14</v>
      </c>
      <c r="C5" s="23">
        <f>SUMPRODUCT(('5. Feature Matrix'!$B$5:$B$386=$A5)*ISNUMBER(SEARCH("✓",'5. Feature Matrix'!D$5:D$386)))</f>
        <v>7</v>
      </c>
      <c r="D5" s="23">
        <f>SUMPRODUCT(('5. Feature Matrix'!$B$5:$B$386=$A5)*ISNUMBER(SEARCH("✓",'5. Feature Matrix'!E$5:E$386)))</f>
        <v>6</v>
      </c>
      <c r="E5" s="23">
        <f>SUMPRODUCT(('5. Feature Matrix'!$B$5:$B$386=$A5)*ISNUMBER(SEARCH("✓",'5. Feature Matrix'!F$5:F$386)))</f>
        <v>7</v>
      </c>
      <c r="F5" s="23">
        <f>SUMPRODUCT(('5. Feature Matrix'!$B$5:$B$386=$A5)*ISNUMBER(SEARCH("✓",'5. Feature Matrix'!G$5:G$386)))</f>
        <v>3</v>
      </c>
      <c r="G5" s="23">
        <f>SUMPRODUCT(('5. Feature Matrix'!$B$5:$B$386=$A5)*ISNUMBER(SEARCH("✓",'5. Feature Matrix'!H$5:H$386)))</f>
        <v>0</v>
      </c>
      <c r="H5" s="23">
        <f>SUMPRODUCT(('5. Feature Matrix'!$B$5:$B$386=$A5)*ISNUMBER(SEARCH("✓",'5. Feature Matrix'!I$5:I$386)))</f>
        <v>7</v>
      </c>
      <c r="I5" s="23">
        <f>SUMPRODUCT(('5. Feature Matrix'!$B$5:$B$386=$A5)*ISNUMBER(SEARCH("✓",'5. Feature Matrix'!J$5:J$386)))</f>
        <v>6</v>
      </c>
      <c r="J5" s="23">
        <f>SUMPRODUCT(('5. Feature Matrix'!$B$5:$B$386=$A5)*ISNUMBER(SEARCH("✓",'5. Feature Matrix'!K$5:K$386)))</f>
        <v>4</v>
      </c>
      <c r="K5" s="23">
        <f>SUMPRODUCT(('5. Feature Matrix'!$B$5:$B$386=$A5)*ISNUMBER(SEARCH("✓",'5. Feature Matrix'!L$5:L$386)))</f>
        <v>1</v>
      </c>
      <c r="L5" s="23">
        <f>SUMPRODUCT(('5. Feature Matrix'!$B$5:$B$386=$A5)*('5. Feature Matrix'!$M$5:$M$386=0)*('5. Feature Matrix'!$N$5:$N$386=0))</f>
        <v>1</v>
      </c>
    </row>
    <row r="6" spans="1:12" ht="19.5" customHeight="1" x14ac:dyDescent="0.35">
      <c r="A6" s="15" t="s">
        <v>600</v>
      </c>
      <c r="B6" s="23">
        <f>COUNTIF('5. Feature Matrix'!$B$5:$B$386,$A6)</f>
        <v>34</v>
      </c>
      <c r="C6" s="23">
        <f>SUMPRODUCT(('5. Feature Matrix'!$B$5:$B$386=$A6)*ISNUMBER(SEARCH("✓",'5. Feature Matrix'!D$5:D$386)))</f>
        <v>6</v>
      </c>
      <c r="D6" s="23">
        <f>SUMPRODUCT(('5. Feature Matrix'!$B$5:$B$386=$A6)*ISNUMBER(SEARCH("✓",'5. Feature Matrix'!E$5:E$386)))</f>
        <v>10</v>
      </c>
      <c r="E6" s="23">
        <f>SUMPRODUCT(('5. Feature Matrix'!$B$5:$B$386=$A6)*ISNUMBER(SEARCH("✓",'5. Feature Matrix'!F$5:F$386)))</f>
        <v>4</v>
      </c>
      <c r="F6" s="23">
        <f>SUMPRODUCT(('5. Feature Matrix'!$B$5:$B$386=$A6)*ISNUMBER(SEARCH("✓",'5. Feature Matrix'!G$5:G$386)))</f>
        <v>16</v>
      </c>
      <c r="G6" s="23">
        <f>SUMPRODUCT(('5. Feature Matrix'!$B$5:$B$386=$A6)*ISNUMBER(SEARCH("✓",'5. Feature Matrix'!H$5:H$386)))</f>
        <v>3</v>
      </c>
      <c r="H6" s="23">
        <f>SUMPRODUCT(('5. Feature Matrix'!$B$5:$B$386=$A6)*ISNUMBER(SEARCH("✓",'5. Feature Matrix'!I$5:I$386)))</f>
        <v>20</v>
      </c>
      <c r="I6" s="23">
        <f>SUMPRODUCT(('5. Feature Matrix'!$B$5:$B$386=$A6)*ISNUMBER(SEARCH("✓",'5. Feature Matrix'!J$5:J$386)))</f>
        <v>12</v>
      </c>
      <c r="J6" s="23">
        <f>SUMPRODUCT(('5. Feature Matrix'!$B$5:$B$386=$A6)*ISNUMBER(SEARCH("✓",'5. Feature Matrix'!K$5:K$386)))</f>
        <v>5</v>
      </c>
      <c r="K6" s="23">
        <f>SUMPRODUCT(('5. Feature Matrix'!$B$5:$B$386=$A6)*ISNUMBER(SEARCH("✓",'5. Feature Matrix'!L$5:L$386)))</f>
        <v>9</v>
      </c>
      <c r="L6" s="23">
        <f>SUMPRODUCT(('5. Feature Matrix'!$B$5:$B$386=$A6)*('5. Feature Matrix'!$M$5:$M$386=0)*('5. Feature Matrix'!$N$5:$N$386=0))</f>
        <v>6</v>
      </c>
    </row>
    <row r="7" spans="1:12" ht="19.5" customHeight="1" x14ac:dyDescent="0.35">
      <c r="A7" s="15" t="s">
        <v>663</v>
      </c>
      <c r="B7" s="23">
        <f>COUNTIF('5. Feature Matrix'!$B$5:$B$386,$A7)</f>
        <v>39</v>
      </c>
      <c r="C7" s="23">
        <f>SUMPRODUCT(('5. Feature Matrix'!$B$5:$B$386=$A7)*ISNUMBER(SEARCH("✓",'5. Feature Matrix'!D$5:D$386)))</f>
        <v>15</v>
      </c>
      <c r="D7" s="23">
        <f>SUMPRODUCT(('5. Feature Matrix'!$B$5:$B$386=$A7)*ISNUMBER(SEARCH("✓",'5. Feature Matrix'!E$5:E$386)))</f>
        <v>29</v>
      </c>
      <c r="E7" s="23">
        <f>SUMPRODUCT(('5. Feature Matrix'!$B$5:$B$386=$A7)*ISNUMBER(SEARCH("✓",'5. Feature Matrix'!F$5:F$386)))</f>
        <v>18</v>
      </c>
      <c r="F7" s="23">
        <f>SUMPRODUCT(('5. Feature Matrix'!$B$5:$B$386=$A7)*ISNUMBER(SEARCH("✓",'5. Feature Matrix'!G$5:G$386)))</f>
        <v>7</v>
      </c>
      <c r="G7" s="23">
        <f>SUMPRODUCT(('5. Feature Matrix'!$B$5:$B$386=$A7)*ISNUMBER(SEARCH("✓",'5. Feature Matrix'!H$5:H$386)))</f>
        <v>15</v>
      </c>
      <c r="H7" s="23">
        <f>SUMPRODUCT(('5. Feature Matrix'!$B$5:$B$386=$A7)*ISNUMBER(SEARCH("✓",'5. Feature Matrix'!I$5:I$386)))</f>
        <v>23</v>
      </c>
      <c r="I7" s="23">
        <f>SUMPRODUCT(('5. Feature Matrix'!$B$5:$B$386=$A7)*ISNUMBER(SEARCH("✓",'5. Feature Matrix'!J$5:J$386)))</f>
        <v>22</v>
      </c>
      <c r="J7" s="23">
        <f>SUMPRODUCT(('5. Feature Matrix'!$B$5:$B$386=$A7)*ISNUMBER(SEARCH("✓",'5. Feature Matrix'!K$5:K$386)))</f>
        <v>14</v>
      </c>
      <c r="K7" s="23">
        <f>SUMPRODUCT(('5. Feature Matrix'!$B$5:$B$386=$A7)*ISNUMBER(SEARCH("✓",'5. Feature Matrix'!L$5:L$386)))</f>
        <v>9</v>
      </c>
      <c r="L7" s="23">
        <f>SUMPRODUCT(('5. Feature Matrix'!$B$5:$B$386=$A7)*('5. Feature Matrix'!$M$5:$M$386=0)*('5. Feature Matrix'!$N$5:$N$386=0))</f>
        <v>1</v>
      </c>
    </row>
    <row r="8" spans="1:12" ht="19.5" customHeight="1" x14ac:dyDescent="0.35">
      <c r="A8" s="15" t="s">
        <v>732</v>
      </c>
      <c r="B8" s="23">
        <f>COUNTIF('5. Feature Matrix'!$B$5:$B$386,$A8)</f>
        <v>29</v>
      </c>
      <c r="C8" s="23">
        <f>SUMPRODUCT(('5. Feature Matrix'!$B$5:$B$386=$A8)*ISNUMBER(SEARCH("✓",'5. Feature Matrix'!D$5:D$386)))</f>
        <v>10</v>
      </c>
      <c r="D8" s="23">
        <f>SUMPRODUCT(('5. Feature Matrix'!$B$5:$B$386=$A8)*ISNUMBER(SEARCH("✓",'5. Feature Matrix'!E$5:E$386)))</f>
        <v>21</v>
      </c>
      <c r="E8" s="23">
        <f>SUMPRODUCT(('5. Feature Matrix'!$B$5:$B$386=$A8)*ISNUMBER(SEARCH("✓",'5. Feature Matrix'!F$5:F$386)))</f>
        <v>17</v>
      </c>
      <c r="F8" s="23">
        <f>SUMPRODUCT(('5. Feature Matrix'!$B$5:$B$386=$A8)*ISNUMBER(SEARCH("✓",'5. Feature Matrix'!G$5:G$386)))</f>
        <v>10</v>
      </c>
      <c r="G8" s="23">
        <f>SUMPRODUCT(('5. Feature Matrix'!$B$5:$B$386=$A8)*ISNUMBER(SEARCH("✓",'5. Feature Matrix'!H$5:H$386)))</f>
        <v>21</v>
      </c>
      <c r="H8" s="23">
        <f>SUMPRODUCT(('5. Feature Matrix'!$B$5:$B$386=$A8)*ISNUMBER(SEARCH("✓",'5. Feature Matrix'!I$5:I$386)))</f>
        <v>15</v>
      </c>
      <c r="I8" s="23">
        <f>SUMPRODUCT(('5. Feature Matrix'!$B$5:$B$386=$A8)*ISNUMBER(SEARCH("✓",'5. Feature Matrix'!J$5:J$386)))</f>
        <v>15</v>
      </c>
      <c r="J8" s="23">
        <f>SUMPRODUCT(('5. Feature Matrix'!$B$5:$B$386=$A8)*ISNUMBER(SEARCH("✓",'5. Feature Matrix'!K$5:K$386)))</f>
        <v>18</v>
      </c>
      <c r="K8" s="23">
        <f>SUMPRODUCT(('5. Feature Matrix'!$B$5:$B$386=$A8)*ISNUMBER(SEARCH("✓",'5. Feature Matrix'!L$5:L$386)))</f>
        <v>5</v>
      </c>
      <c r="L8" s="23">
        <f>SUMPRODUCT(('5. Feature Matrix'!$B$5:$B$386=$A8)*('5. Feature Matrix'!$M$5:$M$386=0)*('5. Feature Matrix'!$N$5:$N$386=0))</f>
        <v>0</v>
      </c>
    </row>
    <row r="9" spans="1:12" ht="19.5" customHeight="1" x14ac:dyDescent="0.35">
      <c r="A9" s="15" t="s">
        <v>777</v>
      </c>
      <c r="B9" s="23">
        <f>COUNTIF('5. Feature Matrix'!$B$5:$B$386,$A9)</f>
        <v>6</v>
      </c>
      <c r="C9" s="23">
        <f>SUMPRODUCT(('5. Feature Matrix'!$B$5:$B$386=$A9)*ISNUMBER(SEARCH("✓",'5. Feature Matrix'!D$5:D$386)))</f>
        <v>3</v>
      </c>
      <c r="D9" s="23">
        <f>SUMPRODUCT(('5. Feature Matrix'!$B$5:$B$386=$A9)*ISNUMBER(SEARCH("✓",'5. Feature Matrix'!E$5:E$386)))</f>
        <v>4</v>
      </c>
      <c r="E9" s="23">
        <f>SUMPRODUCT(('5. Feature Matrix'!$B$5:$B$386=$A9)*ISNUMBER(SEARCH("✓",'5. Feature Matrix'!F$5:F$386)))</f>
        <v>1</v>
      </c>
      <c r="F9" s="23">
        <f>SUMPRODUCT(('5. Feature Matrix'!$B$5:$B$386=$A9)*ISNUMBER(SEARCH("✓",'5. Feature Matrix'!G$5:G$386)))</f>
        <v>4</v>
      </c>
      <c r="G9" s="23">
        <f>SUMPRODUCT(('5. Feature Matrix'!$B$5:$B$386=$A9)*ISNUMBER(SEARCH("✓",'5. Feature Matrix'!H$5:H$386)))</f>
        <v>1</v>
      </c>
      <c r="H9" s="23">
        <f>SUMPRODUCT(('5. Feature Matrix'!$B$5:$B$386=$A9)*ISNUMBER(SEARCH("✓",'5. Feature Matrix'!I$5:I$386)))</f>
        <v>4</v>
      </c>
      <c r="I9" s="23">
        <f>SUMPRODUCT(('5. Feature Matrix'!$B$5:$B$386=$A9)*ISNUMBER(SEARCH("✓",'5. Feature Matrix'!J$5:J$386)))</f>
        <v>4</v>
      </c>
      <c r="J9" s="23">
        <f>SUMPRODUCT(('5. Feature Matrix'!$B$5:$B$386=$A9)*ISNUMBER(SEARCH("✓",'5. Feature Matrix'!K$5:K$386)))</f>
        <v>2</v>
      </c>
      <c r="K9" s="23">
        <f>SUMPRODUCT(('5. Feature Matrix'!$B$5:$B$386=$A9)*ISNUMBER(SEARCH("✓",'5. Feature Matrix'!L$5:L$386)))</f>
        <v>4</v>
      </c>
      <c r="L9" s="23">
        <f>SUMPRODUCT(('5. Feature Matrix'!$B$5:$B$386=$A9)*('5. Feature Matrix'!$M$5:$M$386=0)*('5. Feature Matrix'!$N$5:$N$386=0))</f>
        <v>0</v>
      </c>
    </row>
    <row r="10" spans="1:12" ht="19.5" customHeight="1" x14ac:dyDescent="0.35">
      <c r="A10" s="15" t="s">
        <v>787</v>
      </c>
      <c r="B10" s="23">
        <f>COUNTIF('5. Feature Matrix'!$B$5:$B$386,$A10)</f>
        <v>7</v>
      </c>
      <c r="C10" s="23">
        <f>SUMPRODUCT(('5. Feature Matrix'!$B$5:$B$386=$A10)*ISNUMBER(SEARCH("✓",'5. Feature Matrix'!D$5:D$386)))</f>
        <v>1</v>
      </c>
      <c r="D10" s="23">
        <f>SUMPRODUCT(('5. Feature Matrix'!$B$5:$B$386=$A10)*ISNUMBER(SEARCH("✓",'5. Feature Matrix'!E$5:E$386)))</f>
        <v>5</v>
      </c>
      <c r="E10" s="23">
        <f>SUMPRODUCT(('5. Feature Matrix'!$B$5:$B$386=$A10)*ISNUMBER(SEARCH("✓",'5. Feature Matrix'!F$5:F$386)))</f>
        <v>2</v>
      </c>
      <c r="F10" s="23">
        <f>SUMPRODUCT(('5. Feature Matrix'!$B$5:$B$386=$A10)*ISNUMBER(SEARCH("✓",'5. Feature Matrix'!G$5:G$386)))</f>
        <v>2</v>
      </c>
      <c r="G10" s="23">
        <f>SUMPRODUCT(('5. Feature Matrix'!$B$5:$B$386=$A10)*ISNUMBER(SEARCH("✓",'5. Feature Matrix'!H$5:H$386)))</f>
        <v>2</v>
      </c>
      <c r="H10" s="23">
        <f>SUMPRODUCT(('5. Feature Matrix'!$B$5:$B$386=$A10)*ISNUMBER(SEARCH("✓",'5. Feature Matrix'!I$5:I$386)))</f>
        <v>5</v>
      </c>
      <c r="I10" s="23">
        <f>SUMPRODUCT(('5. Feature Matrix'!$B$5:$B$386=$A10)*ISNUMBER(SEARCH("✓",'5. Feature Matrix'!J$5:J$386)))</f>
        <v>2</v>
      </c>
      <c r="J10" s="23">
        <f>SUMPRODUCT(('5. Feature Matrix'!$B$5:$B$386=$A10)*ISNUMBER(SEARCH("✓",'5. Feature Matrix'!K$5:K$386)))</f>
        <v>1</v>
      </c>
      <c r="K10" s="23">
        <f>SUMPRODUCT(('5. Feature Matrix'!$B$5:$B$386=$A10)*ISNUMBER(SEARCH("✓",'5. Feature Matrix'!L$5:L$386)))</f>
        <v>0</v>
      </c>
      <c r="L10" s="23">
        <f>SUMPRODUCT(('5. Feature Matrix'!$B$5:$B$386=$A10)*('5. Feature Matrix'!$M$5:$M$386=0)*('5. Feature Matrix'!$N$5:$N$386=0))</f>
        <v>1</v>
      </c>
    </row>
    <row r="11" spans="1:12" ht="19.5" customHeight="1" x14ac:dyDescent="0.35">
      <c r="A11" s="15" t="s">
        <v>801</v>
      </c>
      <c r="B11" s="23">
        <f>COUNTIF('5. Feature Matrix'!$B$5:$B$386,$A11)</f>
        <v>11</v>
      </c>
      <c r="C11" s="23">
        <f>SUMPRODUCT(('5. Feature Matrix'!$B$5:$B$386=$A11)*ISNUMBER(SEARCH("✓",'5. Feature Matrix'!D$5:D$386)))</f>
        <v>1</v>
      </c>
      <c r="D11" s="23">
        <f>SUMPRODUCT(('5. Feature Matrix'!$B$5:$B$386=$A11)*ISNUMBER(SEARCH("✓",'5. Feature Matrix'!E$5:E$386)))</f>
        <v>3</v>
      </c>
      <c r="E11" s="23">
        <f>SUMPRODUCT(('5. Feature Matrix'!$B$5:$B$386=$A11)*ISNUMBER(SEARCH("✓",'5. Feature Matrix'!F$5:F$386)))</f>
        <v>1</v>
      </c>
      <c r="F11" s="23">
        <f>SUMPRODUCT(('5. Feature Matrix'!$B$5:$B$386=$A11)*ISNUMBER(SEARCH("✓",'5. Feature Matrix'!G$5:G$386)))</f>
        <v>2</v>
      </c>
      <c r="G11" s="23">
        <f>SUMPRODUCT(('5. Feature Matrix'!$B$5:$B$386=$A11)*ISNUMBER(SEARCH("✓",'5. Feature Matrix'!H$5:H$386)))</f>
        <v>1</v>
      </c>
      <c r="H11" s="23">
        <f>SUMPRODUCT(('5. Feature Matrix'!$B$5:$B$386=$A11)*ISNUMBER(SEARCH("✓",'5. Feature Matrix'!I$5:I$386)))</f>
        <v>4</v>
      </c>
      <c r="I11" s="23">
        <f>SUMPRODUCT(('5. Feature Matrix'!$B$5:$B$386=$A11)*ISNUMBER(SEARCH("✓",'5. Feature Matrix'!J$5:J$386)))</f>
        <v>3</v>
      </c>
      <c r="J11" s="23">
        <f>SUMPRODUCT(('5. Feature Matrix'!$B$5:$B$386=$A11)*ISNUMBER(SEARCH("✓",'5. Feature Matrix'!K$5:K$386)))</f>
        <v>1</v>
      </c>
      <c r="K11" s="23">
        <f>SUMPRODUCT(('5. Feature Matrix'!$B$5:$B$386=$A11)*ISNUMBER(SEARCH("✓",'5. Feature Matrix'!L$5:L$386)))</f>
        <v>2</v>
      </c>
      <c r="L11" s="23">
        <f>SUMPRODUCT(('5. Feature Matrix'!$B$5:$B$386=$A11)*('5. Feature Matrix'!$M$5:$M$386=0)*('5. Feature Matrix'!$N$5:$N$386=0))</f>
        <v>1</v>
      </c>
    </row>
    <row r="12" spans="1:12" ht="19.5" customHeight="1" x14ac:dyDescent="0.35">
      <c r="A12" s="15" t="s">
        <v>822</v>
      </c>
      <c r="B12" s="23">
        <f>COUNTIF('5. Feature Matrix'!$B$5:$B$386,$A12)</f>
        <v>29</v>
      </c>
      <c r="C12" s="23">
        <f>SUMPRODUCT(('5. Feature Matrix'!$B$5:$B$386=$A12)*ISNUMBER(SEARCH("✓",'5. Feature Matrix'!D$5:D$386)))</f>
        <v>6</v>
      </c>
      <c r="D12" s="23">
        <f>SUMPRODUCT(('5. Feature Matrix'!$B$5:$B$386=$A12)*ISNUMBER(SEARCH("✓",'5. Feature Matrix'!E$5:E$386)))</f>
        <v>20</v>
      </c>
      <c r="E12" s="23">
        <f>SUMPRODUCT(('5. Feature Matrix'!$B$5:$B$386=$A12)*ISNUMBER(SEARCH("✓",'5. Feature Matrix'!F$5:F$386)))</f>
        <v>2</v>
      </c>
      <c r="F12" s="23">
        <f>SUMPRODUCT(('5. Feature Matrix'!$B$5:$B$386=$A12)*ISNUMBER(SEARCH("✓",'5. Feature Matrix'!G$5:G$386)))</f>
        <v>11</v>
      </c>
      <c r="G12" s="23">
        <f>SUMPRODUCT(('5. Feature Matrix'!$B$5:$B$386=$A12)*ISNUMBER(SEARCH("✓",'5. Feature Matrix'!H$5:H$386)))</f>
        <v>2</v>
      </c>
      <c r="H12" s="23">
        <f>SUMPRODUCT(('5. Feature Matrix'!$B$5:$B$386=$A12)*ISNUMBER(SEARCH("✓",'5. Feature Matrix'!I$5:I$386)))</f>
        <v>24</v>
      </c>
      <c r="I12" s="23">
        <f>SUMPRODUCT(('5. Feature Matrix'!$B$5:$B$386=$A12)*ISNUMBER(SEARCH("✓",'5. Feature Matrix'!J$5:J$386)))</f>
        <v>19</v>
      </c>
      <c r="J12" s="23">
        <f>SUMPRODUCT(('5. Feature Matrix'!$B$5:$B$386=$A12)*ISNUMBER(SEARCH("✓",'5. Feature Matrix'!K$5:K$386)))</f>
        <v>7</v>
      </c>
      <c r="K12" s="23">
        <f>SUMPRODUCT(('5. Feature Matrix'!$B$5:$B$386=$A12)*ISNUMBER(SEARCH("✓",'5. Feature Matrix'!L$5:L$386)))</f>
        <v>9</v>
      </c>
      <c r="L12" s="23">
        <f>SUMPRODUCT(('5. Feature Matrix'!$B$5:$B$386=$A12)*('5. Feature Matrix'!$M$5:$M$386=0)*('5. Feature Matrix'!$N$5:$N$386=0))</f>
        <v>3</v>
      </c>
    </row>
    <row r="13" spans="1:12" ht="19.5" customHeight="1" x14ac:dyDescent="0.35">
      <c r="A13" s="15" t="s">
        <v>875</v>
      </c>
      <c r="B13" s="23">
        <f>COUNTIF('5. Feature Matrix'!$B$5:$B$386,$A13)</f>
        <v>18</v>
      </c>
      <c r="C13" s="23">
        <f>SUMPRODUCT(('5. Feature Matrix'!$B$5:$B$386=$A13)*ISNUMBER(SEARCH("✓",'5. Feature Matrix'!D$5:D$386)))</f>
        <v>3</v>
      </c>
      <c r="D13" s="23">
        <f>SUMPRODUCT(('5. Feature Matrix'!$B$5:$B$386=$A13)*ISNUMBER(SEARCH("✓",'5. Feature Matrix'!E$5:E$386)))</f>
        <v>9</v>
      </c>
      <c r="E13" s="23">
        <f>SUMPRODUCT(('5. Feature Matrix'!$B$5:$B$386=$A13)*ISNUMBER(SEARCH("✓",'5. Feature Matrix'!F$5:F$386)))</f>
        <v>1</v>
      </c>
      <c r="F13" s="23">
        <f>SUMPRODUCT(('5. Feature Matrix'!$B$5:$B$386=$A13)*ISNUMBER(SEARCH("✓",'5. Feature Matrix'!G$5:G$386)))</f>
        <v>5</v>
      </c>
      <c r="G13" s="23">
        <f>SUMPRODUCT(('5. Feature Matrix'!$B$5:$B$386=$A13)*ISNUMBER(SEARCH("✓",'5. Feature Matrix'!H$5:H$386)))</f>
        <v>0</v>
      </c>
      <c r="H13" s="23">
        <f>SUMPRODUCT(('5. Feature Matrix'!$B$5:$B$386=$A13)*ISNUMBER(SEARCH("✓",'5. Feature Matrix'!I$5:I$386)))</f>
        <v>6</v>
      </c>
      <c r="I13" s="23">
        <f>SUMPRODUCT(('5. Feature Matrix'!$B$5:$B$386=$A13)*ISNUMBER(SEARCH("✓",'5. Feature Matrix'!J$5:J$386)))</f>
        <v>11</v>
      </c>
      <c r="J13" s="23">
        <f>SUMPRODUCT(('5. Feature Matrix'!$B$5:$B$386=$A13)*ISNUMBER(SEARCH("✓",'5. Feature Matrix'!K$5:K$386)))</f>
        <v>4</v>
      </c>
      <c r="K13" s="23">
        <f>SUMPRODUCT(('5. Feature Matrix'!$B$5:$B$386=$A13)*ISNUMBER(SEARCH("✓",'5. Feature Matrix'!L$5:L$386)))</f>
        <v>2</v>
      </c>
      <c r="L13" s="23">
        <f>SUMPRODUCT(('5. Feature Matrix'!$B$5:$B$386=$A13)*('5. Feature Matrix'!$M$5:$M$386=0)*('5. Feature Matrix'!$N$5:$N$386=0))</f>
        <v>2</v>
      </c>
    </row>
    <row r="14" spans="1:12" ht="19.5" customHeight="1" x14ac:dyDescent="0.35">
      <c r="A14" s="15" t="s">
        <v>904</v>
      </c>
      <c r="B14" s="23">
        <f>COUNTIF('5. Feature Matrix'!$B$5:$B$386,$A14)</f>
        <v>19</v>
      </c>
      <c r="C14" s="23">
        <f>SUMPRODUCT(('5. Feature Matrix'!$B$5:$B$386=$A14)*ISNUMBER(SEARCH("✓",'5. Feature Matrix'!D$5:D$386)))</f>
        <v>7</v>
      </c>
      <c r="D14" s="23">
        <f>SUMPRODUCT(('5. Feature Matrix'!$B$5:$B$386=$A14)*ISNUMBER(SEARCH("✓",'5. Feature Matrix'!E$5:E$386)))</f>
        <v>9</v>
      </c>
      <c r="E14" s="23">
        <f>SUMPRODUCT(('5. Feature Matrix'!$B$5:$B$386=$A14)*ISNUMBER(SEARCH("✓",'5. Feature Matrix'!F$5:F$386)))</f>
        <v>5</v>
      </c>
      <c r="F14" s="23">
        <f>SUMPRODUCT(('5. Feature Matrix'!$B$5:$B$386=$A14)*ISNUMBER(SEARCH("✓",'5. Feature Matrix'!G$5:G$386)))</f>
        <v>2</v>
      </c>
      <c r="G14" s="23">
        <f>SUMPRODUCT(('5. Feature Matrix'!$B$5:$B$386=$A14)*ISNUMBER(SEARCH("✓",'5. Feature Matrix'!H$5:H$386)))</f>
        <v>7</v>
      </c>
      <c r="H14" s="23">
        <f>SUMPRODUCT(('5. Feature Matrix'!$B$5:$B$386=$A14)*ISNUMBER(SEARCH("✓",'5. Feature Matrix'!I$5:I$386)))</f>
        <v>9</v>
      </c>
      <c r="I14" s="23">
        <f>SUMPRODUCT(('5. Feature Matrix'!$B$5:$B$386=$A14)*ISNUMBER(SEARCH("✓",'5. Feature Matrix'!J$5:J$386)))</f>
        <v>5</v>
      </c>
      <c r="J14" s="23">
        <f>SUMPRODUCT(('5. Feature Matrix'!$B$5:$B$386=$A14)*ISNUMBER(SEARCH("✓",'5. Feature Matrix'!K$5:K$386)))</f>
        <v>8</v>
      </c>
      <c r="K14" s="23">
        <f>SUMPRODUCT(('5. Feature Matrix'!$B$5:$B$386=$A14)*ISNUMBER(SEARCH("✓",'5. Feature Matrix'!L$5:L$386)))</f>
        <v>2</v>
      </c>
      <c r="L14" s="23">
        <f>SUMPRODUCT(('5. Feature Matrix'!$B$5:$B$386=$A14)*('5. Feature Matrix'!$M$5:$M$386=0)*('5. Feature Matrix'!$N$5:$N$386=0))</f>
        <v>2</v>
      </c>
    </row>
    <row r="15" spans="1:12" ht="19.5" customHeight="1" x14ac:dyDescent="0.35">
      <c r="A15" s="15" t="s">
        <v>937</v>
      </c>
      <c r="B15" s="23">
        <f>COUNTIF('5. Feature Matrix'!$B$5:$B$386,$A15)</f>
        <v>21</v>
      </c>
      <c r="C15" s="23">
        <f>SUMPRODUCT(('5. Feature Matrix'!$B$5:$B$386=$A15)*ISNUMBER(SEARCH("✓",'5. Feature Matrix'!D$5:D$386)))</f>
        <v>11</v>
      </c>
      <c r="D15" s="23">
        <f>SUMPRODUCT(('5. Feature Matrix'!$B$5:$B$386=$A15)*ISNUMBER(SEARCH("✓",'5. Feature Matrix'!E$5:E$386)))</f>
        <v>12</v>
      </c>
      <c r="E15" s="23">
        <f>SUMPRODUCT(('5. Feature Matrix'!$B$5:$B$386=$A15)*ISNUMBER(SEARCH("✓",'5. Feature Matrix'!F$5:F$386)))</f>
        <v>9</v>
      </c>
      <c r="F15" s="23">
        <f>SUMPRODUCT(('5. Feature Matrix'!$B$5:$B$386=$A15)*ISNUMBER(SEARCH("✓",'5. Feature Matrix'!G$5:G$386)))</f>
        <v>14</v>
      </c>
      <c r="G15" s="23">
        <f>SUMPRODUCT(('5. Feature Matrix'!$B$5:$B$386=$A15)*ISNUMBER(SEARCH("✓",'5. Feature Matrix'!H$5:H$386)))</f>
        <v>9</v>
      </c>
      <c r="H15" s="23">
        <f>SUMPRODUCT(('5. Feature Matrix'!$B$5:$B$386=$A15)*ISNUMBER(SEARCH("✓",'5. Feature Matrix'!I$5:I$386)))</f>
        <v>12</v>
      </c>
      <c r="I15" s="23">
        <f>SUMPRODUCT(('5. Feature Matrix'!$B$5:$B$386=$A15)*ISNUMBER(SEARCH("✓",'5. Feature Matrix'!J$5:J$386)))</f>
        <v>13</v>
      </c>
      <c r="J15" s="23">
        <f>SUMPRODUCT(('5. Feature Matrix'!$B$5:$B$386=$A15)*ISNUMBER(SEARCH("✓",'5. Feature Matrix'!K$5:K$386)))</f>
        <v>11</v>
      </c>
      <c r="K15" s="23">
        <f>SUMPRODUCT(('5. Feature Matrix'!$B$5:$B$386=$A15)*ISNUMBER(SEARCH("✓",'5. Feature Matrix'!L$5:L$386)))</f>
        <v>6</v>
      </c>
      <c r="L15" s="23">
        <f>SUMPRODUCT(('5. Feature Matrix'!$B$5:$B$386=$A15)*('5. Feature Matrix'!$M$5:$M$386=0)*('5. Feature Matrix'!$N$5:$N$386=0))</f>
        <v>3</v>
      </c>
    </row>
    <row r="16" spans="1:12" ht="19.5" customHeight="1" x14ac:dyDescent="0.35">
      <c r="A16" s="15" t="s">
        <v>972</v>
      </c>
      <c r="B16" s="23">
        <f>COUNTIF('5. Feature Matrix'!$B$5:$B$386,$A16)</f>
        <v>19</v>
      </c>
      <c r="C16" s="23">
        <f>SUMPRODUCT(('5. Feature Matrix'!$B$5:$B$386=$A16)*ISNUMBER(SEARCH("✓",'5. Feature Matrix'!D$5:D$386)))</f>
        <v>5</v>
      </c>
      <c r="D16" s="23">
        <f>SUMPRODUCT(('5. Feature Matrix'!$B$5:$B$386=$A16)*ISNUMBER(SEARCH("✓",'5. Feature Matrix'!E$5:E$386)))</f>
        <v>9</v>
      </c>
      <c r="E16" s="23">
        <f>SUMPRODUCT(('5. Feature Matrix'!$B$5:$B$386=$A16)*ISNUMBER(SEARCH("✓",'5. Feature Matrix'!F$5:F$386)))</f>
        <v>2</v>
      </c>
      <c r="F16" s="23">
        <f>SUMPRODUCT(('5. Feature Matrix'!$B$5:$B$386=$A16)*ISNUMBER(SEARCH("✓",'5. Feature Matrix'!G$5:G$386)))</f>
        <v>3</v>
      </c>
      <c r="G16" s="23">
        <f>SUMPRODUCT(('5. Feature Matrix'!$B$5:$B$386=$A16)*ISNUMBER(SEARCH("✓",'5. Feature Matrix'!H$5:H$386)))</f>
        <v>2</v>
      </c>
      <c r="H16" s="23">
        <f>SUMPRODUCT(('5. Feature Matrix'!$B$5:$B$386=$A16)*ISNUMBER(SEARCH("✓",'5. Feature Matrix'!I$5:I$386)))</f>
        <v>13</v>
      </c>
      <c r="I16" s="23">
        <f>SUMPRODUCT(('5. Feature Matrix'!$B$5:$B$386=$A16)*ISNUMBER(SEARCH("✓",'5. Feature Matrix'!J$5:J$386)))</f>
        <v>8</v>
      </c>
      <c r="J16" s="23">
        <f>SUMPRODUCT(('5. Feature Matrix'!$B$5:$B$386=$A16)*ISNUMBER(SEARCH("✓",'5. Feature Matrix'!K$5:K$386)))</f>
        <v>7</v>
      </c>
      <c r="K16" s="23">
        <f>SUMPRODUCT(('5. Feature Matrix'!$B$5:$B$386=$A16)*ISNUMBER(SEARCH("✓",'5. Feature Matrix'!L$5:L$386)))</f>
        <v>0</v>
      </c>
      <c r="L16" s="23">
        <f>SUMPRODUCT(('5. Feature Matrix'!$B$5:$B$386=$A16)*('5. Feature Matrix'!$M$5:$M$386=0)*('5. Feature Matrix'!$N$5:$N$386=0))</f>
        <v>1</v>
      </c>
    </row>
    <row r="17" spans="1:12" ht="19.5" customHeight="1" x14ac:dyDescent="0.35">
      <c r="A17" s="15" t="s">
        <v>1008</v>
      </c>
      <c r="B17" s="23">
        <f>COUNTIF('5. Feature Matrix'!$B$5:$B$386,$A17)</f>
        <v>18</v>
      </c>
      <c r="C17" s="23">
        <f>SUMPRODUCT(('5. Feature Matrix'!$B$5:$B$386=$A17)*ISNUMBER(SEARCH("✓",'5. Feature Matrix'!D$5:D$386)))</f>
        <v>10</v>
      </c>
      <c r="D17" s="23">
        <f>SUMPRODUCT(('5. Feature Matrix'!$B$5:$B$386=$A17)*ISNUMBER(SEARCH("✓",'5. Feature Matrix'!E$5:E$386)))</f>
        <v>12</v>
      </c>
      <c r="E17" s="23">
        <f>SUMPRODUCT(('5. Feature Matrix'!$B$5:$B$386=$A17)*ISNUMBER(SEARCH("✓",'5. Feature Matrix'!F$5:F$386)))</f>
        <v>11</v>
      </c>
      <c r="F17" s="23">
        <f>SUMPRODUCT(('5. Feature Matrix'!$B$5:$B$386=$A17)*ISNUMBER(SEARCH("✓",'5. Feature Matrix'!G$5:G$386)))</f>
        <v>9</v>
      </c>
      <c r="G17" s="23">
        <f>SUMPRODUCT(('5. Feature Matrix'!$B$5:$B$386=$A17)*ISNUMBER(SEARCH("✓",'5. Feature Matrix'!H$5:H$386)))</f>
        <v>12</v>
      </c>
      <c r="H17" s="23">
        <f>SUMPRODUCT(('5. Feature Matrix'!$B$5:$B$386=$A17)*ISNUMBER(SEARCH("✓",'5. Feature Matrix'!I$5:I$386)))</f>
        <v>14</v>
      </c>
      <c r="I17" s="23">
        <f>SUMPRODUCT(('5. Feature Matrix'!$B$5:$B$386=$A17)*ISNUMBER(SEARCH("✓",'5. Feature Matrix'!J$5:J$386)))</f>
        <v>3</v>
      </c>
      <c r="J17" s="23">
        <f>SUMPRODUCT(('5. Feature Matrix'!$B$5:$B$386=$A17)*ISNUMBER(SEARCH("✓",'5. Feature Matrix'!K$5:K$386)))</f>
        <v>2</v>
      </c>
      <c r="K17" s="23">
        <f>SUMPRODUCT(('5. Feature Matrix'!$B$5:$B$386=$A17)*ISNUMBER(SEARCH("✓",'5. Feature Matrix'!L$5:L$386)))</f>
        <v>2</v>
      </c>
      <c r="L17" s="23">
        <f>SUMPRODUCT(('5. Feature Matrix'!$B$5:$B$386=$A17)*('5. Feature Matrix'!$M$5:$M$386=0)*('5. Feature Matrix'!$N$5:$N$386=0))</f>
        <v>1</v>
      </c>
    </row>
    <row r="18" spans="1:12" ht="19.5" customHeight="1" x14ac:dyDescent="0.35">
      <c r="A18" s="15" t="s">
        <v>1036</v>
      </c>
      <c r="B18" s="23">
        <f>COUNTIF('5. Feature Matrix'!$B$5:$B$386,$A18)</f>
        <v>14</v>
      </c>
      <c r="C18" s="23">
        <f>SUMPRODUCT(('5. Feature Matrix'!$B$5:$B$386=$A18)*ISNUMBER(SEARCH("✓",'5. Feature Matrix'!D$5:D$386)))</f>
        <v>7</v>
      </c>
      <c r="D18" s="23">
        <f>SUMPRODUCT(('5. Feature Matrix'!$B$5:$B$386=$A18)*ISNUMBER(SEARCH("✓",'5. Feature Matrix'!E$5:E$386)))</f>
        <v>11</v>
      </c>
      <c r="E18" s="23">
        <f>SUMPRODUCT(('5. Feature Matrix'!$B$5:$B$386=$A18)*ISNUMBER(SEARCH("✓",'5. Feature Matrix'!F$5:F$386)))</f>
        <v>5</v>
      </c>
      <c r="F18" s="23">
        <f>SUMPRODUCT(('5. Feature Matrix'!$B$5:$B$386=$A18)*ISNUMBER(SEARCH("✓",'5. Feature Matrix'!G$5:G$386)))</f>
        <v>1</v>
      </c>
      <c r="G18" s="23">
        <f>SUMPRODUCT(('5. Feature Matrix'!$B$5:$B$386=$A18)*ISNUMBER(SEARCH("✓",'5. Feature Matrix'!H$5:H$386)))</f>
        <v>0</v>
      </c>
      <c r="H18" s="23">
        <f>SUMPRODUCT(('5. Feature Matrix'!$B$5:$B$386=$A18)*ISNUMBER(SEARCH("✓",'5. Feature Matrix'!I$5:I$386)))</f>
        <v>1</v>
      </c>
      <c r="I18" s="23">
        <f>SUMPRODUCT(('5. Feature Matrix'!$B$5:$B$386=$A18)*ISNUMBER(SEARCH("✓",'5. Feature Matrix'!J$5:J$386)))</f>
        <v>6</v>
      </c>
      <c r="J18" s="23">
        <f>SUMPRODUCT(('5. Feature Matrix'!$B$5:$B$386=$A18)*ISNUMBER(SEARCH("✓",'5. Feature Matrix'!K$5:K$386)))</f>
        <v>5</v>
      </c>
      <c r="K18" s="23">
        <f>SUMPRODUCT(('5. Feature Matrix'!$B$5:$B$386=$A18)*ISNUMBER(SEARCH("✓",'5. Feature Matrix'!L$5:L$386)))</f>
        <v>0</v>
      </c>
      <c r="L18" s="23">
        <f>SUMPRODUCT(('5. Feature Matrix'!$B$5:$B$386=$A18)*('5. Feature Matrix'!$M$5:$M$386=0)*('5. Feature Matrix'!$N$5:$N$386=0))</f>
        <v>0</v>
      </c>
    </row>
    <row r="19" spans="1:12" ht="19.5" customHeight="1" x14ac:dyDescent="0.35">
      <c r="A19" s="15" t="s">
        <v>1061</v>
      </c>
      <c r="B19" s="23">
        <f>COUNTIF('5. Feature Matrix'!$B$5:$B$386,$A19)</f>
        <v>11</v>
      </c>
      <c r="C19" s="23">
        <f>SUMPRODUCT(('5. Feature Matrix'!$B$5:$B$386=$A19)*ISNUMBER(SEARCH("✓",'5. Feature Matrix'!D$5:D$386)))</f>
        <v>0</v>
      </c>
      <c r="D19" s="23">
        <f>SUMPRODUCT(('5. Feature Matrix'!$B$5:$B$386=$A19)*ISNUMBER(SEARCH("✓",'5. Feature Matrix'!E$5:E$386)))</f>
        <v>0</v>
      </c>
      <c r="E19" s="23">
        <f>SUMPRODUCT(('5. Feature Matrix'!$B$5:$B$386=$A19)*ISNUMBER(SEARCH("✓",'5. Feature Matrix'!F$5:F$386)))</f>
        <v>7</v>
      </c>
      <c r="F19" s="23">
        <f>SUMPRODUCT(('5. Feature Matrix'!$B$5:$B$386=$A19)*ISNUMBER(SEARCH("✓",'5. Feature Matrix'!G$5:G$386)))</f>
        <v>0</v>
      </c>
      <c r="G19" s="23">
        <f>SUMPRODUCT(('5. Feature Matrix'!$B$5:$B$386=$A19)*ISNUMBER(SEARCH("✓",'5. Feature Matrix'!H$5:H$386)))</f>
        <v>0</v>
      </c>
      <c r="H19" s="23">
        <f>SUMPRODUCT(('5. Feature Matrix'!$B$5:$B$386=$A19)*ISNUMBER(SEARCH("✓",'5. Feature Matrix'!I$5:I$386)))</f>
        <v>0</v>
      </c>
      <c r="I19" s="23">
        <f>SUMPRODUCT(('5. Feature Matrix'!$B$5:$B$386=$A19)*ISNUMBER(SEARCH("✓",'5. Feature Matrix'!J$5:J$386)))</f>
        <v>0</v>
      </c>
      <c r="J19" s="23">
        <f>SUMPRODUCT(('5. Feature Matrix'!$B$5:$B$386=$A19)*ISNUMBER(SEARCH("✓",'5. Feature Matrix'!K$5:K$386)))</f>
        <v>0</v>
      </c>
      <c r="K19" s="23">
        <f>SUMPRODUCT(('5. Feature Matrix'!$B$5:$B$386=$A19)*ISNUMBER(SEARCH("✓",'5. Feature Matrix'!L$5:L$386)))</f>
        <v>0</v>
      </c>
      <c r="L19" s="23">
        <f>SUMPRODUCT(('5. Feature Matrix'!$B$5:$B$386=$A19)*('5. Feature Matrix'!$M$5:$M$386=0)*('5. Feature Matrix'!$N$5:$N$386=0))</f>
        <v>1</v>
      </c>
    </row>
    <row r="20" spans="1:12" ht="19.5" customHeight="1" x14ac:dyDescent="0.35">
      <c r="A20" s="15" t="s">
        <v>1082</v>
      </c>
      <c r="B20" s="23">
        <f>COUNTIF('5. Feature Matrix'!$B$5:$B$386,$A20)</f>
        <v>15</v>
      </c>
      <c r="C20" s="23">
        <f>SUMPRODUCT(('5. Feature Matrix'!$B$5:$B$386=$A20)*ISNUMBER(SEARCH("✓",'5. Feature Matrix'!D$5:D$386)))</f>
        <v>6</v>
      </c>
      <c r="D20" s="23">
        <f>SUMPRODUCT(('5. Feature Matrix'!$B$5:$B$386=$A20)*ISNUMBER(SEARCH("✓",'5. Feature Matrix'!E$5:E$386)))</f>
        <v>5</v>
      </c>
      <c r="E20" s="23">
        <f>SUMPRODUCT(('5. Feature Matrix'!$B$5:$B$386=$A20)*ISNUMBER(SEARCH("✓",'5. Feature Matrix'!F$5:F$386)))</f>
        <v>4</v>
      </c>
      <c r="F20" s="23">
        <f>SUMPRODUCT(('5. Feature Matrix'!$B$5:$B$386=$A20)*ISNUMBER(SEARCH("✓",'5. Feature Matrix'!G$5:G$386)))</f>
        <v>3</v>
      </c>
      <c r="G20" s="23">
        <f>SUMPRODUCT(('5. Feature Matrix'!$B$5:$B$386=$A20)*ISNUMBER(SEARCH("✓",'5. Feature Matrix'!H$5:H$386)))</f>
        <v>2</v>
      </c>
      <c r="H20" s="23">
        <f>SUMPRODUCT(('5. Feature Matrix'!$B$5:$B$386=$A20)*ISNUMBER(SEARCH("✓",'5. Feature Matrix'!I$5:I$386)))</f>
        <v>2</v>
      </c>
      <c r="I20" s="23">
        <f>SUMPRODUCT(('5. Feature Matrix'!$B$5:$B$386=$A20)*ISNUMBER(SEARCH("✓",'5. Feature Matrix'!J$5:J$386)))</f>
        <v>2</v>
      </c>
      <c r="J20" s="23">
        <f>SUMPRODUCT(('5. Feature Matrix'!$B$5:$B$386=$A20)*ISNUMBER(SEARCH("✓",'5. Feature Matrix'!K$5:K$386)))</f>
        <v>1</v>
      </c>
      <c r="K20" s="23">
        <f>SUMPRODUCT(('5. Feature Matrix'!$B$5:$B$386=$A20)*ISNUMBER(SEARCH("✓",'5. Feature Matrix'!L$5:L$386)))</f>
        <v>1</v>
      </c>
      <c r="L20" s="23">
        <f>SUMPRODUCT(('5. Feature Matrix'!$B$5:$B$386=$A20)*('5. Feature Matrix'!$M$5:$M$386=0)*('5. Feature Matrix'!$N$5:$N$386=0))</f>
        <v>5</v>
      </c>
    </row>
    <row r="21" spans="1:12" ht="19.5" customHeight="1" x14ac:dyDescent="0.35">
      <c r="A21" s="15" t="s">
        <v>1107</v>
      </c>
      <c r="B21" s="23">
        <f>COUNTIF('5. Feature Matrix'!$B$5:$B$386,$A21)</f>
        <v>12</v>
      </c>
      <c r="C21" s="23">
        <f>SUMPRODUCT(('5. Feature Matrix'!$B$5:$B$386=$A21)*ISNUMBER(SEARCH("✓",'5. Feature Matrix'!D$5:D$386)))</f>
        <v>2</v>
      </c>
      <c r="D21" s="23">
        <f>SUMPRODUCT(('5. Feature Matrix'!$B$5:$B$386=$A21)*ISNUMBER(SEARCH("✓",'5. Feature Matrix'!E$5:E$386)))</f>
        <v>6</v>
      </c>
      <c r="E21" s="23">
        <f>SUMPRODUCT(('5. Feature Matrix'!$B$5:$B$386=$A21)*ISNUMBER(SEARCH("✓",'5. Feature Matrix'!F$5:F$386)))</f>
        <v>2</v>
      </c>
      <c r="F21" s="23">
        <f>SUMPRODUCT(('5. Feature Matrix'!$B$5:$B$386=$A21)*ISNUMBER(SEARCH("✓",'5. Feature Matrix'!G$5:G$386)))</f>
        <v>5</v>
      </c>
      <c r="G21" s="23">
        <f>SUMPRODUCT(('5. Feature Matrix'!$B$5:$B$386=$A21)*ISNUMBER(SEARCH("✓",'5. Feature Matrix'!H$5:H$386)))</f>
        <v>3</v>
      </c>
      <c r="H21" s="23">
        <f>SUMPRODUCT(('5. Feature Matrix'!$B$5:$B$386=$A21)*ISNUMBER(SEARCH("✓",'5. Feature Matrix'!I$5:I$386)))</f>
        <v>4</v>
      </c>
      <c r="I21" s="23">
        <f>SUMPRODUCT(('5. Feature Matrix'!$B$5:$B$386=$A21)*ISNUMBER(SEARCH("✓",'5. Feature Matrix'!J$5:J$386)))</f>
        <v>4</v>
      </c>
      <c r="J21" s="23">
        <f>SUMPRODUCT(('5. Feature Matrix'!$B$5:$B$386=$A21)*ISNUMBER(SEARCH("✓",'5. Feature Matrix'!K$5:K$386)))</f>
        <v>5</v>
      </c>
      <c r="K21" s="23">
        <f>SUMPRODUCT(('5. Feature Matrix'!$B$5:$B$386=$A21)*ISNUMBER(SEARCH("✓",'5. Feature Matrix'!L$5:L$386)))</f>
        <v>2</v>
      </c>
      <c r="L21" s="23">
        <f>SUMPRODUCT(('5. Feature Matrix'!$B$5:$B$386=$A21)*('5. Feature Matrix'!$M$5:$M$386=0)*('5. Feature Matrix'!$N$5:$N$386=0))</f>
        <v>2</v>
      </c>
    </row>
    <row r="22" spans="1:12" ht="19.5" customHeight="1" x14ac:dyDescent="0.35">
      <c r="A22" s="15" t="s">
        <v>1128</v>
      </c>
      <c r="B22" s="23">
        <f>COUNTIF('5. Feature Matrix'!$B$5:$B$386,$A22)</f>
        <v>16</v>
      </c>
      <c r="C22" s="23">
        <f>SUMPRODUCT(('5. Feature Matrix'!$B$5:$B$386=$A22)*ISNUMBER(SEARCH("✓",'5. Feature Matrix'!D$5:D$386)))</f>
        <v>4</v>
      </c>
      <c r="D22" s="23">
        <f>SUMPRODUCT(('5. Feature Matrix'!$B$5:$B$386=$A22)*ISNUMBER(SEARCH("✓",'5. Feature Matrix'!E$5:E$386)))</f>
        <v>9</v>
      </c>
      <c r="E22" s="23">
        <f>SUMPRODUCT(('5. Feature Matrix'!$B$5:$B$386=$A22)*ISNUMBER(SEARCH("✓",'5. Feature Matrix'!F$5:F$386)))</f>
        <v>4</v>
      </c>
      <c r="F22" s="23">
        <f>SUMPRODUCT(('5. Feature Matrix'!$B$5:$B$386=$A22)*ISNUMBER(SEARCH("✓",'5. Feature Matrix'!G$5:G$386)))</f>
        <v>3</v>
      </c>
      <c r="G22" s="23">
        <f>SUMPRODUCT(('5. Feature Matrix'!$B$5:$B$386=$A22)*ISNUMBER(SEARCH("✓",'5. Feature Matrix'!H$5:H$386)))</f>
        <v>1</v>
      </c>
      <c r="H22" s="23">
        <f>SUMPRODUCT(('5. Feature Matrix'!$B$5:$B$386=$A22)*ISNUMBER(SEARCH("✓",'5. Feature Matrix'!I$5:I$386)))</f>
        <v>4</v>
      </c>
      <c r="I22" s="23">
        <f>SUMPRODUCT(('5. Feature Matrix'!$B$5:$B$386=$A22)*ISNUMBER(SEARCH("✓",'5. Feature Matrix'!J$5:J$386)))</f>
        <v>8</v>
      </c>
      <c r="J22" s="23">
        <f>SUMPRODUCT(('5. Feature Matrix'!$B$5:$B$386=$A22)*ISNUMBER(SEARCH("✓",'5. Feature Matrix'!K$5:K$386)))</f>
        <v>7</v>
      </c>
      <c r="K22" s="23">
        <f>SUMPRODUCT(('5. Feature Matrix'!$B$5:$B$386=$A22)*ISNUMBER(SEARCH("✓",'5. Feature Matrix'!L$5:L$386)))</f>
        <v>3</v>
      </c>
      <c r="L22" s="23">
        <f>SUMPRODUCT(('5. Feature Matrix'!$B$5:$B$386=$A22)*('5. Feature Matrix'!$M$5:$M$386=0)*('5. Feature Matrix'!$N$5:$N$386=0))</f>
        <v>0</v>
      </c>
    </row>
    <row r="23" spans="1:12" ht="19.5" customHeight="1" x14ac:dyDescent="0.35">
      <c r="A23" s="15" t="s">
        <v>1162</v>
      </c>
      <c r="B23" s="23">
        <f>COUNTIF('5. Feature Matrix'!$B$5:$B$386,$A23)</f>
        <v>7</v>
      </c>
      <c r="C23" s="23">
        <f>SUMPRODUCT(('5. Feature Matrix'!$B$5:$B$386=$A23)*ISNUMBER(SEARCH("✓",'5. Feature Matrix'!D$5:D$386)))</f>
        <v>0</v>
      </c>
      <c r="D23" s="23">
        <f>SUMPRODUCT(('5. Feature Matrix'!$B$5:$B$386=$A23)*ISNUMBER(SEARCH("✓",'5. Feature Matrix'!E$5:E$386)))</f>
        <v>0</v>
      </c>
      <c r="E23" s="23">
        <f>SUMPRODUCT(('5. Feature Matrix'!$B$5:$B$386=$A23)*ISNUMBER(SEARCH("✓",'5. Feature Matrix'!F$5:F$386)))</f>
        <v>0</v>
      </c>
      <c r="F23" s="23">
        <f>SUMPRODUCT(('5. Feature Matrix'!$B$5:$B$386=$A23)*ISNUMBER(SEARCH("✓",'5. Feature Matrix'!G$5:G$386)))</f>
        <v>0</v>
      </c>
      <c r="G23" s="23">
        <f>SUMPRODUCT(('5. Feature Matrix'!$B$5:$B$386=$A23)*ISNUMBER(SEARCH("✓",'5. Feature Matrix'!H$5:H$386)))</f>
        <v>0</v>
      </c>
      <c r="H23" s="23">
        <f>SUMPRODUCT(('5. Feature Matrix'!$B$5:$B$386=$A23)*ISNUMBER(SEARCH("✓",'5. Feature Matrix'!I$5:I$386)))</f>
        <v>2</v>
      </c>
      <c r="I23" s="23">
        <f>SUMPRODUCT(('5. Feature Matrix'!$B$5:$B$386=$A23)*ISNUMBER(SEARCH("✓",'5. Feature Matrix'!J$5:J$386)))</f>
        <v>1</v>
      </c>
      <c r="J23" s="23">
        <f>SUMPRODUCT(('5. Feature Matrix'!$B$5:$B$386=$A23)*ISNUMBER(SEARCH("✓",'5. Feature Matrix'!K$5:K$386)))</f>
        <v>0</v>
      </c>
      <c r="K23" s="23">
        <f>SUMPRODUCT(('5. Feature Matrix'!$B$5:$B$386=$A23)*ISNUMBER(SEARCH("✓",'5. Feature Matrix'!L$5:L$386)))</f>
        <v>0</v>
      </c>
      <c r="L23" s="23">
        <f>SUMPRODUCT(('5. Feature Matrix'!$B$5:$B$386=$A23)*('5. Feature Matrix'!$M$5:$M$386=0)*('5. Feature Matrix'!$N$5:$N$386=0))</f>
        <v>3</v>
      </c>
    </row>
    <row r="24" spans="1:12" ht="19.5" customHeight="1" x14ac:dyDescent="0.35">
      <c r="A24" s="15" t="s">
        <v>1173</v>
      </c>
      <c r="B24" s="23">
        <f>COUNTIF('5. Feature Matrix'!$B$5:$B$386,$A24)</f>
        <v>6</v>
      </c>
      <c r="C24" s="23">
        <f>SUMPRODUCT(('5. Feature Matrix'!$B$5:$B$386=$A24)*ISNUMBER(SEARCH("✓",'5. Feature Matrix'!D$5:D$386)))</f>
        <v>0</v>
      </c>
      <c r="D24" s="23">
        <f>SUMPRODUCT(('5. Feature Matrix'!$B$5:$B$386=$A24)*ISNUMBER(SEARCH("✓",'5. Feature Matrix'!E$5:E$386)))</f>
        <v>0</v>
      </c>
      <c r="E24" s="23">
        <f>SUMPRODUCT(('5. Feature Matrix'!$B$5:$B$386=$A24)*ISNUMBER(SEARCH("✓",'5. Feature Matrix'!F$5:F$386)))</f>
        <v>0</v>
      </c>
      <c r="F24" s="23">
        <f>SUMPRODUCT(('5. Feature Matrix'!$B$5:$B$386=$A24)*ISNUMBER(SEARCH("✓",'5. Feature Matrix'!G$5:G$386)))</f>
        <v>0</v>
      </c>
      <c r="G24" s="23">
        <f>SUMPRODUCT(('5. Feature Matrix'!$B$5:$B$386=$A24)*ISNUMBER(SEARCH("✓",'5. Feature Matrix'!H$5:H$386)))</f>
        <v>1</v>
      </c>
      <c r="H24" s="23">
        <f>SUMPRODUCT(('5. Feature Matrix'!$B$5:$B$386=$A24)*ISNUMBER(SEARCH("✓",'5. Feature Matrix'!I$5:I$386)))</f>
        <v>0</v>
      </c>
      <c r="I24" s="23">
        <f>SUMPRODUCT(('5. Feature Matrix'!$B$5:$B$386=$A24)*ISNUMBER(SEARCH("✓",'5. Feature Matrix'!J$5:J$386)))</f>
        <v>0</v>
      </c>
      <c r="J24" s="23">
        <f>SUMPRODUCT(('5. Feature Matrix'!$B$5:$B$386=$A24)*ISNUMBER(SEARCH("✓",'5. Feature Matrix'!K$5:K$386)))</f>
        <v>0</v>
      </c>
      <c r="K24" s="23">
        <f>SUMPRODUCT(('5. Feature Matrix'!$B$5:$B$386=$A24)*ISNUMBER(SEARCH("✓",'5. Feature Matrix'!L$5:L$386)))</f>
        <v>0</v>
      </c>
      <c r="L24" s="23">
        <f>SUMPRODUCT(('5. Feature Matrix'!$B$5:$B$386=$A24)*('5. Feature Matrix'!$M$5:$M$386=0)*('5. Feature Matrix'!$N$5:$N$386=0))</f>
        <v>3</v>
      </c>
    </row>
    <row r="25" spans="1:12" ht="19.5" customHeight="1" x14ac:dyDescent="0.35">
      <c r="A25" s="15" t="s">
        <v>1185</v>
      </c>
      <c r="B25" s="23">
        <f>COUNTIF('5. Feature Matrix'!$B$5:$B$386,$A25)</f>
        <v>5</v>
      </c>
      <c r="C25" s="23">
        <f>SUMPRODUCT(('5. Feature Matrix'!$B$5:$B$386=$A25)*ISNUMBER(SEARCH("✓",'5. Feature Matrix'!D$5:D$386)))</f>
        <v>0</v>
      </c>
      <c r="D25" s="23">
        <f>SUMPRODUCT(('5. Feature Matrix'!$B$5:$B$386=$A25)*ISNUMBER(SEARCH("✓",'5. Feature Matrix'!E$5:E$386)))</f>
        <v>0</v>
      </c>
      <c r="E25" s="23">
        <f>SUMPRODUCT(('5. Feature Matrix'!$B$5:$B$386=$A25)*ISNUMBER(SEARCH("✓",'5. Feature Matrix'!F$5:F$386)))</f>
        <v>1</v>
      </c>
      <c r="F25" s="23">
        <f>SUMPRODUCT(('5. Feature Matrix'!$B$5:$B$386=$A25)*ISNUMBER(SEARCH("✓",'5. Feature Matrix'!G$5:G$386)))</f>
        <v>0</v>
      </c>
      <c r="G25" s="23">
        <f>SUMPRODUCT(('5. Feature Matrix'!$B$5:$B$386=$A25)*ISNUMBER(SEARCH("✓",'5. Feature Matrix'!H$5:H$386)))</f>
        <v>1</v>
      </c>
      <c r="H25" s="23">
        <f>SUMPRODUCT(('5. Feature Matrix'!$B$5:$B$386=$A25)*ISNUMBER(SEARCH("✓",'5. Feature Matrix'!I$5:I$386)))</f>
        <v>0</v>
      </c>
      <c r="I25" s="23">
        <f>SUMPRODUCT(('5. Feature Matrix'!$B$5:$B$386=$A25)*ISNUMBER(SEARCH("✓",'5. Feature Matrix'!J$5:J$386)))</f>
        <v>2</v>
      </c>
      <c r="J25" s="23">
        <f>SUMPRODUCT(('5. Feature Matrix'!$B$5:$B$386=$A25)*ISNUMBER(SEARCH("✓",'5. Feature Matrix'!K$5:K$386)))</f>
        <v>0</v>
      </c>
      <c r="K25" s="23">
        <f>SUMPRODUCT(('5. Feature Matrix'!$B$5:$B$386=$A25)*ISNUMBER(SEARCH("✓",'5. Feature Matrix'!L$5:L$386)))</f>
        <v>0</v>
      </c>
      <c r="L25" s="23">
        <f>SUMPRODUCT(('5. Feature Matrix'!$B$5:$B$386=$A25)*('5. Feature Matrix'!$M$5:$M$386=0)*('5. Feature Matrix'!$N$5:$N$386=0))</f>
        <v>1</v>
      </c>
    </row>
    <row r="26" spans="1:12" ht="19.5" customHeight="1" x14ac:dyDescent="0.35">
      <c r="A26" s="15" t="s">
        <v>1196</v>
      </c>
      <c r="B26" s="23">
        <f>COUNTIF('5. Feature Matrix'!$B$5:$B$386,$A26)</f>
        <v>6</v>
      </c>
      <c r="C26" s="23">
        <f>SUMPRODUCT(('5. Feature Matrix'!$B$5:$B$386=$A26)*ISNUMBER(SEARCH("✓",'5. Feature Matrix'!D$5:D$386)))</f>
        <v>1</v>
      </c>
      <c r="D26" s="23">
        <f>SUMPRODUCT(('5. Feature Matrix'!$B$5:$B$386=$A26)*ISNUMBER(SEARCH("✓",'5. Feature Matrix'!E$5:E$386)))</f>
        <v>1</v>
      </c>
      <c r="E26" s="23">
        <f>SUMPRODUCT(('5. Feature Matrix'!$B$5:$B$386=$A26)*ISNUMBER(SEARCH("✓",'5. Feature Matrix'!F$5:F$386)))</f>
        <v>0</v>
      </c>
      <c r="F26" s="23">
        <f>SUMPRODUCT(('5. Feature Matrix'!$B$5:$B$386=$A26)*ISNUMBER(SEARCH("✓",'5. Feature Matrix'!G$5:G$386)))</f>
        <v>1</v>
      </c>
      <c r="G26" s="23">
        <f>SUMPRODUCT(('5. Feature Matrix'!$B$5:$B$386=$A26)*ISNUMBER(SEARCH("✓",'5. Feature Matrix'!H$5:H$386)))</f>
        <v>0</v>
      </c>
      <c r="H26" s="23">
        <f>SUMPRODUCT(('5. Feature Matrix'!$B$5:$B$386=$A26)*ISNUMBER(SEARCH("✓",'5. Feature Matrix'!I$5:I$386)))</f>
        <v>1</v>
      </c>
      <c r="I26" s="23">
        <f>SUMPRODUCT(('5. Feature Matrix'!$B$5:$B$386=$A26)*ISNUMBER(SEARCH("✓",'5. Feature Matrix'!J$5:J$386)))</f>
        <v>1</v>
      </c>
      <c r="J26" s="23">
        <f>SUMPRODUCT(('5. Feature Matrix'!$B$5:$B$386=$A26)*ISNUMBER(SEARCH("✓",'5. Feature Matrix'!K$5:K$386)))</f>
        <v>0</v>
      </c>
      <c r="K26" s="23">
        <f>SUMPRODUCT(('5. Feature Matrix'!$B$5:$B$386=$A26)*ISNUMBER(SEARCH("✓",'5. Feature Matrix'!L$5:L$386)))</f>
        <v>1</v>
      </c>
      <c r="L26" s="23">
        <f>SUMPRODUCT(('5. Feature Matrix'!$B$5:$B$386=$A26)*('5. Feature Matrix'!$M$5:$M$386=0)*('5. Feature Matrix'!$N$5:$N$386=0))</f>
        <v>2</v>
      </c>
    </row>
    <row r="27" spans="1:12" ht="19.5" customHeight="1" x14ac:dyDescent="0.35">
      <c r="A27" s="15" t="s">
        <v>1208</v>
      </c>
      <c r="B27" s="23">
        <f>COUNTIF('5. Feature Matrix'!$B$5:$B$386,$A27)</f>
        <v>5</v>
      </c>
      <c r="C27" s="23">
        <f>SUMPRODUCT(('5. Feature Matrix'!$B$5:$B$386=$A27)*ISNUMBER(SEARCH("✓",'5. Feature Matrix'!D$5:D$386)))</f>
        <v>0</v>
      </c>
      <c r="D27" s="23">
        <f>SUMPRODUCT(('5. Feature Matrix'!$B$5:$B$386=$A27)*ISNUMBER(SEARCH("✓",'5. Feature Matrix'!E$5:E$386)))</f>
        <v>0</v>
      </c>
      <c r="E27" s="23">
        <f>SUMPRODUCT(('5. Feature Matrix'!$B$5:$B$386=$A27)*ISNUMBER(SEARCH("✓",'5. Feature Matrix'!F$5:F$386)))</f>
        <v>0</v>
      </c>
      <c r="F27" s="23">
        <f>SUMPRODUCT(('5. Feature Matrix'!$B$5:$B$386=$A27)*ISNUMBER(SEARCH("✓",'5. Feature Matrix'!G$5:G$386)))</f>
        <v>0</v>
      </c>
      <c r="G27" s="23">
        <f>SUMPRODUCT(('5. Feature Matrix'!$B$5:$B$386=$A27)*ISNUMBER(SEARCH("✓",'5. Feature Matrix'!H$5:H$386)))</f>
        <v>0</v>
      </c>
      <c r="H27" s="23">
        <f>SUMPRODUCT(('5. Feature Matrix'!$B$5:$B$386=$A27)*ISNUMBER(SEARCH("✓",'5. Feature Matrix'!I$5:I$386)))</f>
        <v>0</v>
      </c>
      <c r="I27" s="23">
        <f>SUMPRODUCT(('5. Feature Matrix'!$B$5:$B$386=$A27)*ISNUMBER(SEARCH("✓",'5. Feature Matrix'!J$5:J$386)))</f>
        <v>0</v>
      </c>
      <c r="J27" s="23">
        <f>SUMPRODUCT(('5. Feature Matrix'!$B$5:$B$386=$A27)*ISNUMBER(SEARCH("✓",'5. Feature Matrix'!K$5:K$386)))</f>
        <v>0</v>
      </c>
      <c r="K27" s="23">
        <f>SUMPRODUCT(('5. Feature Matrix'!$B$5:$B$386=$A27)*ISNUMBER(SEARCH("✓",'5. Feature Matrix'!L$5:L$386)))</f>
        <v>0</v>
      </c>
      <c r="L27" s="23">
        <f>SUMPRODUCT(('5. Feature Matrix'!$B$5:$B$386=$A27)*('5. Feature Matrix'!$M$5:$M$386=0)*('5. Feature Matrix'!$N$5:$N$386=0))</f>
        <v>3</v>
      </c>
    </row>
    <row r="28" spans="1:12" ht="19.5" customHeight="1" x14ac:dyDescent="0.35">
      <c r="A28" s="15" t="s">
        <v>1218</v>
      </c>
      <c r="B28" s="23">
        <f>COUNTIF('5. Feature Matrix'!$B$5:$B$386,$A28)</f>
        <v>7</v>
      </c>
      <c r="C28" s="23">
        <f>SUMPRODUCT(('5. Feature Matrix'!$B$5:$B$386=$A28)*ISNUMBER(SEARCH("✓",'5. Feature Matrix'!D$5:D$386)))</f>
        <v>0</v>
      </c>
      <c r="D28" s="23">
        <f>SUMPRODUCT(('5. Feature Matrix'!$B$5:$B$386=$A28)*ISNUMBER(SEARCH("✓",'5. Feature Matrix'!E$5:E$386)))</f>
        <v>2</v>
      </c>
      <c r="E28" s="23">
        <f>SUMPRODUCT(('5. Feature Matrix'!$B$5:$B$386=$A28)*ISNUMBER(SEARCH("✓",'5. Feature Matrix'!F$5:F$386)))</f>
        <v>0</v>
      </c>
      <c r="F28" s="23">
        <f>SUMPRODUCT(('5. Feature Matrix'!$B$5:$B$386=$A28)*ISNUMBER(SEARCH("✓",'5. Feature Matrix'!G$5:G$386)))</f>
        <v>0</v>
      </c>
      <c r="G28" s="23">
        <f>SUMPRODUCT(('5. Feature Matrix'!$B$5:$B$386=$A28)*ISNUMBER(SEARCH("✓",'5. Feature Matrix'!H$5:H$386)))</f>
        <v>0</v>
      </c>
      <c r="H28" s="23">
        <f>SUMPRODUCT(('5. Feature Matrix'!$B$5:$B$386=$A28)*ISNUMBER(SEARCH("✓",'5. Feature Matrix'!I$5:I$386)))</f>
        <v>0</v>
      </c>
      <c r="I28" s="23">
        <f>SUMPRODUCT(('5. Feature Matrix'!$B$5:$B$386=$A28)*ISNUMBER(SEARCH("✓",'5. Feature Matrix'!J$5:J$386)))</f>
        <v>0</v>
      </c>
      <c r="J28" s="23">
        <f>SUMPRODUCT(('5. Feature Matrix'!$B$5:$B$386=$A28)*ISNUMBER(SEARCH("✓",'5. Feature Matrix'!K$5:K$386)))</f>
        <v>0</v>
      </c>
      <c r="K28" s="23">
        <f>SUMPRODUCT(('5. Feature Matrix'!$B$5:$B$386=$A28)*ISNUMBER(SEARCH("✓",'5. Feature Matrix'!L$5:L$386)))</f>
        <v>0</v>
      </c>
      <c r="L28" s="23">
        <f>SUMPRODUCT(('5. Feature Matrix'!$B$5:$B$386=$A28)*('5. Feature Matrix'!$M$5:$M$386=0)*('5. Feature Matrix'!$N$5:$N$386=0))</f>
        <v>4</v>
      </c>
    </row>
    <row r="29" spans="1:12" ht="19.5" customHeight="1" x14ac:dyDescent="0.35">
      <c r="A29" s="15" t="s">
        <v>1231</v>
      </c>
      <c r="B29" s="23">
        <f>COUNTIF('5. Feature Matrix'!$B$5:$B$386,$A29)</f>
        <v>5</v>
      </c>
      <c r="C29" s="23">
        <f>SUMPRODUCT(('5. Feature Matrix'!$B$5:$B$386=$A29)*ISNUMBER(SEARCH("✓",'5. Feature Matrix'!D$5:D$386)))</f>
        <v>0</v>
      </c>
      <c r="D29" s="23">
        <f>SUMPRODUCT(('5. Feature Matrix'!$B$5:$B$386=$A29)*ISNUMBER(SEARCH("✓",'5. Feature Matrix'!E$5:E$386)))</f>
        <v>1</v>
      </c>
      <c r="E29" s="23">
        <f>SUMPRODUCT(('5. Feature Matrix'!$B$5:$B$386=$A29)*ISNUMBER(SEARCH("✓",'5. Feature Matrix'!F$5:F$386)))</f>
        <v>1</v>
      </c>
      <c r="F29" s="23">
        <f>SUMPRODUCT(('5. Feature Matrix'!$B$5:$B$386=$A29)*ISNUMBER(SEARCH("✓",'5. Feature Matrix'!G$5:G$386)))</f>
        <v>0</v>
      </c>
      <c r="G29" s="23">
        <f>SUMPRODUCT(('5. Feature Matrix'!$B$5:$B$386=$A29)*ISNUMBER(SEARCH("✓",'5. Feature Matrix'!H$5:H$386)))</f>
        <v>1</v>
      </c>
      <c r="H29" s="23">
        <f>SUMPRODUCT(('5. Feature Matrix'!$B$5:$B$386=$A29)*ISNUMBER(SEARCH("✓",'5. Feature Matrix'!I$5:I$386)))</f>
        <v>0</v>
      </c>
      <c r="I29" s="23">
        <f>SUMPRODUCT(('5. Feature Matrix'!$B$5:$B$386=$A29)*ISNUMBER(SEARCH("✓",'5. Feature Matrix'!J$5:J$386)))</f>
        <v>0</v>
      </c>
      <c r="J29" s="23">
        <f>SUMPRODUCT(('5. Feature Matrix'!$B$5:$B$386=$A29)*ISNUMBER(SEARCH("✓",'5. Feature Matrix'!K$5:K$386)))</f>
        <v>1</v>
      </c>
      <c r="K29" s="23">
        <f>SUMPRODUCT(('5. Feature Matrix'!$B$5:$B$386=$A29)*ISNUMBER(SEARCH("✓",'5. Feature Matrix'!L$5:L$386)))</f>
        <v>0</v>
      </c>
      <c r="L29" s="23">
        <f>SUMPRODUCT(('5. Feature Matrix'!$B$5:$B$386=$A29)*('5. Feature Matrix'!$M$5:$M$386=0)*('5. Feature Matrix'!$N$5:$N$386=0))</f>
        <v>4</v>
      </c>
    </row>
    <row r="30" spans="1:12" ht="19.5" customHeight="1" x14ac:dyDescent="0.35">
      <c r="A30" s="15" t="s">
        <v>1239</v>
      </c>
      <c r="B30" s="23">
        <f>COUNTIF('5. Feature Matrix'!$B$5:$B$386,$A30)</f>
        <v>5</v>
      </c>
      <c r="C30" s="23">
        <f>SUMPRODUCT(('5. Feature Matrix'!$B$5:$B$386=$A30)*ISNUMBER(SEARCH("✓",'5. Feature Matrix'!D$5:D$386)))</f>
        <v>0</v>
      </c>
      <c r="D30" s="23">
        <f>SUMPRODUCT(('5. Feature Matrix'!$B$5:$B$386=$A30)*ISNUMBER(SEARCH("✓",'5. Feature Matrix'!E$5:E$386)))</f>
        <v>0</v>
      </c>
      <c r="E30" s="23">
        <f>SUMPRODUCT(('5. Feature Matrix'!$B$5:$B$386=$A30)*ISNUMBER(SEARCH("✓",'5. Feature Matrix'!F$5:F$386)))</f>
        <v>0</v>
      </c>
      <c r="F30" s="23">
        <f>SUMPRODUCT(('5. Feature Matrix'!$B$5:$B$386=$A30)*ISNUMBER(SEARCH("✓",'5. Feature Matrix'!G$5:G$386)))</f>
        <v>0</v>
      </c>
      <c r="G30" s="23">
        <f>SUMPRODUCT(('5. Feature Matrix'!$B$5:$B$386=$A30)*ISNUMBER(SEARCH("✓",'5. Feature Matrix'!H$5:H$386)))</f>
        <v>0</v>
      </c>
      <c r="H30" s="23">
        <f>SUMPRODUCT(('5. Feature Matrix'!$B$5:$B$386=$A30)*ISNUMBER(SEARCH("✓",'5. Feature Matrix'!I$5:I$386)))</f>
        <v>0</v>
      </c>
      <c r="I30" s="23">
        <f>SUMPRODUCT(('5. Feature Matrix'!$B$5:$B$386=$A30)*ISNUMBER(SEARCH("✓",'5. Feature Matrix'!J$5:J$386)))</f>
        <v>0</v>
      </c>
      <c r="J30" s="23">
        <f>SUMPRODUCT(('5. Feature Matrix'!$B$5:$B$386=$A30)*ISNUMBER(SEARCH("✓",'5. Feature Matrix'!K$5:K$386)))</f>
        <v>0</v>
      </c>
      <c r="K30" s="23">
        <f>SUMPRODUCT(('5. Feature Matrix'!$B$5:$B$386=$A30)*ISNUMBER(SEARCH("✓",'5. Feature Matrix'!L$5:L$386)))</f>
        <v>0</v>
      </c>
      <c r="L30" s="23">
        <f>SUMPRODUCT(('5. Feature Matrix'!$B$5:$B$386=$A30)*('5. Feature Matrix'!$M$5:$M$386=0)*('5. Feature Matrix'!$N$5:$N$386=0))</f>
        <v>2</v>
      </c>
    </row>
    <row r="31" spans="1:12" ht="19.5" customHeight="1" x14ac:dyDescent="0.35">
      <c r="A31" s="15" t="s">
        <v>1247</v>
      </c>
      <c r="B31" s="23">
        <f>COUNTIF('5. Feature Matrix'!$B$5:$B$386,$A31)</f>
        <v>4</v>
      </c>
      <c r="C31" s="23">
        <f>SUMPRODUCT(('5. Feature Matrix'!$B$5:$B$386=$A31)*ISNUMBER(SEARCH("✓",'5. Feature Matrix'!D$5:D$386)))</f>
        <v>0</v>
      </c>
      <c r="D31" s="23">
        <f>SUMPRODUCT(('5. Feature Matrix'!$B$5:$B$386=$A31)*ISNUMBER(SEARCH("✓",'5. Feature Matrix'!E$5:E$386)))</f>
        <v>2</v>
      </c>
      <c r="E31" s="23">
        <f>SUMPRODUCT(('5. Feature Matrix'!$B$5:$B$386=$A31)*ISNUMBER(SEARCH("✓",'5. Feature Matrix'!F$5:F$386)))</f>
        <v>0</v>
      </c>
      <c r="F31" s="23">
        <f>SUMPRODUCT(('5. Feature Matrix'!$B$5:$B$386=$A31)*ISNUMBER(SEARCH("✓",'5. Feature Matrix'!G$5:G$386)))</f>
        <v>2</v>
      </c>
      <c r="G31" s="23">
        <f>SUMPRODUCT(('5. Feature Matrix'!$B$5:$B$386=$A31)*ISNUMBER(SEARCH("✓",'5. Feature Matrix'!H$5:H$386)))</f>
        <v>0</v>
      </c>
      <c r="H31" s="23">
        <f>SUMPRODUCT(('5. Feature Matrix'!$B$5:$B$386=$A31)*ISNUMBER(SEARCH("✓",'5. Feature Matrix'!I$5:I$386)))</f>
        <v>2</v>
      </c>
      <c r="I31" s="23">
        <f>SUMPRODUCT(('5. Feature Matrix'!$B$5:$B$386=$A31)*ISNUMBER(SEARCH("✓",'5. Feature Matrix'!J$5:J$386)))</f>
        <v>2</v>
      </c>
      <c r="J31" s="23">
        <f>SUMPRODUCT(('5. Feature Matrix'!$B$5:$B$386=$A31)*ISNUMBER(SEARCH("✓",'5. Feature Matrix'!K$5:K$386)))</f>
        <v>0</v>
      </c>
      <c r="K31" s="23">
        <f>SUMPRODUCT(('5. Feature Matrix'!$B$5:$B$386=$A31)*ISNUMBER(SEARCH("✓",'5. Feature Matrix'!L$5:L$386)))</f>
        <v>0</v>
      </c>
      <c r="L31" s="23">
        <f>SUMPRODUCT(('5. Feature Matrix'!$B$5:$B$386=$A31)*('5. Feature Matrix'!$M$5:$M$386=0)*('5. Feature Matrix'!$N$5:$N$386=0))</f>
        <v>0</v>
      </c>
    </row>
    <row r="32" spans="1:12" ht="19.5" customHeight="1" x14ac:dyDescent="0.35">
      <c r="A32" s="27" t="s">
        <v>1259</v>
      </c>
      <c r="B32" s="28">
        <f t="shared" ref="B32:L32" si="0">SUM(B5:B31)</f>
        <v>382</v>
      </c>
      <c r="C32" s="28">
        <f t="shared" si="0"/>
        <v>105</v>
      </c>
      <c r="D32" s="28">
        <f t="shared" si="0"/>
        <v>186</v>
      </c>
      <c r="E32" s="28">
        <f t="shared" si="0"/>
        <v>104</v>
      </c>
      <c r="F32" s="28">
        <f t="shared" si="0"/>
        <v>103</v>
      </c>
      <c r="G32" s="28">
        <f t="shared" si="0"/>
        <v>84</v>
      </c>
      <c r="H32" s="28">
        <f t="shared" si="0"/>
        <v>172</v>
      </c>
      <c r="I32" s="28">
        <f t="shared" si="0"/>
        <v>149</v>
      </c>
      <c r="J32" s="28">
        <f t="shared" si="0"/>
        <v>103</v>
      </c>
      <c r="K32" s="28">
        <f t="shared" si="0"/>
        <v>58</v>
      </c>
      <c r="L32" s="28">
        <f t="shared" si="0"/>
        <v>52</v>
      </c>
    </row>
    <row r="33" spans="1:12" ht="19.5" customHeight="1" x14ac:dyDescent="0.35">
      <c r="A33" s="29" t="s">
        <v>1260</v>
      </c>
      <c r="B33" s="30"/>
      <c r="C33" s="31">
        <f t="shared" ref="C33:K33" si="1">C32/$B$32</f>
        <v>0.27486910994764396</v>
      </c>
      <c r="D33" s="31">
        <f t="shared" si="1"/>
        <v>0.48691099476439792</v>
      </c>
      <c r="E33" s="31">
        <f t="shared" si="1"/>
        <v>0.27225130890052357</v>
      </c>
      <c r="F33" s="31">
        <f t="shared" si="1"/>
        <v>0.26963350785340312</v>
      </c>
      <c r="G33" s="31">
        <f t="shared" si="1"/>
        <v>0.21989528795811519</v>
      </c>
      <c r="H33" s="31">
        <f t="shared" si="1"/>
        <v>0.45026178010471202</v>
      </c>
      <c r="I33" s="31">
        <f t="shared" si="1"/>
        <v>0.3900523560209424</v>
      </c>
      <c r="J33" s="31">
        <f t="shared" si="1"/>
        <v>0.26963350785340312</v>
      </c>
      <c r="K33" s="31">
        <f t="shared" si="1"/>
        <v>0.15183246073298429</v>
      </c>
      <c r="L33" s="30"/>
    </row>
    <row r="35" spans="1:12" x14ac:dyDescent="0.35">
      <c r="A35" s="16" t="s">
        <v>1261</v>
      </c>
    </row>
    <row r="36" spans="1:12" x14ac:dyDescent="0.35">
      <c r="C36" s="32" t="s">
        <v>102</v>
      </c>
      <c r="D36" s="32" t="s">
        <v>114</v>
      </c>
      <c r="E36" s="32" t="s">
        <v>126</v>
      </c>
      <c r="F36" s="32" t="s">
        <v>137</v>
      </c>
      <c r="G36" s="32" t="s">
        <v>148</v>
      </c>
      <c r="H36" s="32" t="s">
        <v>159</v>
      </c>
      <c r="I36" s="32" t="s">
        <v>170</v>
      </c>
      <c r="J36" s="32" t="s">
        <v>181</v>
      </c>
      <c r="K36" s="32" t="s">
        <v>202</v>
      </c>
    </row>
    <row r="38" spans="1:12" x14ac:dyDescent="0.35">
      <c r="A38" s="16" t="s">
        <v>1262</v>
      </c>
    </row>
    <row r="39" spans="1:12" x14ac:dyDescent="0.35">
      <c r="A39" s="17" t="s">
        <v>1263</v>
      </c>
    </row>
    <row r="40" spans="1:12" x14ac:dyDescent="0.35">
      <c r="A40" s="17" t="s">
        <v>1264</v>
      </c>
    </row>
    <row r="41" spans="1:12" x14ac:dyDescent="0.35">
      <c r="A41" s="17" t="s">
        <v>1265</v>
      </c>
    </row>
    <row r="42" spans="1:12" x14ac:dyDescent="0.35">
      <c r="A42" s="17" t="s">
        <v>1266</v>
      </c>
    </row>
    <row r="43" spans="1:12" x14ac:dyDescent="0.35">
      <c r="A43" s="17" t="s">
        <v>1267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K2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44" customWidth="1"/>
    <col min="2" max="10" width="7" customWidth="1"/>
    <col min="11" max="11" width="62" customWidth="1"/>
  </cols>
  <sheetData>
    <row r="1" spans="1:11" ht="21.75" customHeight="1" x14ac:dyDescent="0.4">
      <c r="A1" s="7" t="s">
        <v>1268</v>
      </c>
    </row>
    <row r="2" spans="1:11" x14ac:dyDescent="0.35">
      <c r="A2" s="8" t="s">
        <v>1269</v>
      </c>
    </row>
    <row r="4" spans="1:11" ht="33.75" customHeight="1" x14ac:dyDescent="0.35">
      <c r="A4" s="9" t="s">
        <v>1270</v>
      </c>
      <c r="B4" s="9" t="s">
        <v>554</v>
      </c>
      <c r="C4" s="9" t="s">
        <v>555</v>
      </c>
      <c r="D4" s="9" t="s">
        <v>556</v>
      </c>
      <c r="E4" s="9" t="s">
        <v>557</v>
      </c>
      <c r="F4" s="9" t="s">
        <v>558</v>
      </c>
      <c r="G4" s="9" t="s">
        <v>559</v>
      </c>
      <c r="H4" s="9" t="s">
        <v>560</v>
      </c>
      <c r="I4" s="9" t="s">
        <v>561</v>
      </c>
      <c r="J4" s="9" t="s">
        <v>562</v>
      </c>
      <c r="K4" s="9" t="s">
        <v>1271</v>
      </c>
    </row>
    <row r="5" spans="1:11" ht="27.75" customHeight="1" x14ac:dyDescent="0.35">
      <c r="A5" s="14" t="s">
        <v>1272</v>
      </c>
      <c r="B5" s="33" t="s">
        <v>52</v>
      </c>
      <c r="C5" s="34" t="s">
        <v>56</v>
      </c>
      <c r="D5" s="35" t="s">
        <v>1273</v>
      </c>
      <c r="E5" s="33" t="s">
        <v>52</v>
      </c>
      <c r="F5" s="36" t="s">
        <v>50</v>
      </c>
      <c r="G5" s="35" t="s">
        <v>54</v>
      </c>
      <c r="H5" s="35" t="s">
        <v>54</v>
      </c>
      <c r="I5" s="33" t="s">
        <v>52</v>
      </c>
      <c r="J5" s="36" t="s">
        <v>50</v>
      </c>
      <c r="K5" s="26" t="s">
        <v>1274</v>
      </c>
    </row>
    <row r="6" spans="1:11" ht="27.75" customHeight="1" x14ac:dyDescent="0.35">
      <c r="A6" s="14" t="s">
        <v>1275</v>
      </c>
      <c r="B6" s="33" t="s">
        <v>52</v>
      </c>
      <c r="C6" s="35" t="s">
        <v>54</v>
      </c>
      <c r="D6" s="33" t="s">
        <v>52</v>
      </c>
      <c r="E6" s="36" t="s">
        <v>50</v>
      </c>
      <c r="F6" s="37" t="s">
        <v>59</v>
      </c>
      <c r="G6" s="35" t="s">
        <v>1276</v>
      </c>
      <c r="H6" s="33" t="s">
        <v>52</v>
      </c>
      <c r="I6" s="33" t="s">
        <v>52</v>
      </c>
      <c r="J6" s="36" t="s">
        <v>50</v>
      </c>
      <c r="K6" s="26" t="s">
        <v>1277</v>
      </c>
    </row>
    <row r="7" spans="1:11" ht="27.75" customHeight="1" x14ac:dyDescent="0.35">
      <c r="A7" s="14" t="s">
        <v>1278</v>
      </c>
      <c r="B7" s="33" t="s">
        <v>52</v>
      </c>
      <c r="C7" s="33" t="s">
        <v>52</v>
      </c>
      <c r="D7" s="37" t="s">
        <v>59</v>
      </c>
      <c r="E7" s="33" t="s">
        <v>52</v>
      </c>
      <c r="F7" s="37" t="s">
        <v>59</v>
      </c>
      <c r="G7" s="35" t="s">
        <v>1276</v>
      </c>
      <c r="H7" s="35" t="s">
        <v>54</v>
      </c>
      <c r="I7" s="33" t="s">
        <v>52</v>
      </c>
      <c r="J7" s="36" t="s">
        <v>50</v>
      </c>
      <c r="K7" s="26" t="s">
        <v>1279</v>
      </c>
    </row>
    <row r="8" spans="1:11" ht="27.75" customHeight="1" x14ac:dyDescent="0.35">
      <c r="A8" s="14" t="s">
        <v>1280</v>
      </c>
      <c r="B8" s="33" t="s">
        <v>52</v>
      </c>
      <c r="C8" s="35" t="s">
        <v>54</v>
      </c>
      <c r="D8" s="36" t="s">
        <v>50</v>
      </c>
      <c r="E8" s="33" t="s">
        <v>52</v>
      </c>
      <c r="F8" s="36" t="s">
        <v>50</v>
      </c>
      <c r="G8" s="34" t="s">
        <v>1281</v>
      </c>
      <c r="H8" s="35" t="s">
        <v>54</v>
      </c>
      <c r="I8" s="33" t="s">
        <v>52</v>
      </c>
      <c r="J8" s="33" t="s">
        <v>52</v>
      </c>
      <c r="K8" s="26" t="s">
        <v>1282</v>
      </c>
    </row>
    <row r="9" spans="1:11" ht="27.75" customHeight="1" x14ac:dyDescent="0.35">
      <c r="A9" s="14" t="s">
        <v>1283</v>
      </c>
      <c r="B9" s="37" t="s">
        <v>37</v>
      </c>
      <c r="C9" s="33" t="s">
        <v>1284</v>
      </c>
      <c r="D9" s="37" t="s">
        <v>59</v>
      </c>
      <c r="E9" s="33" t="s">
        <v>52</v>
      </c>
      <c r="F9" s="37" t="s">
        <v>59</v>
      </c>
      <c r="G9" s="35" t="s">
        <v>1276</v>
      </c>
      <c r="H9" s="33" t="s">
        <v>1284</v>
      </c>
      <c r="I9" s="37" t="s">
        <v>37</v>
      </c>
      <c r="J9" s="36" t="s">
        <v>50</v>
      </c>
      <c r="K9" s="26" t="s">
        <v>1285</v>
      </c>
    </row>
    <row r="10" spans="1:11" ht="27.75" customHeight="1" x14ac:dyDescent="0.35">
      <c r="A10" s="14" t="s">
        <v>1286</v>
      </c>
      <c r="B10" s="36" t="s">
        <v>50</v>
      </c>
      <c r="C10" s="35" t="s">
        <v>54</v>
      </c>
      <c r="D10" s="35" t="s">
        <v>1287</v>
      </c>
      <c r="E10" s="33" t="s">
        <v>52</v>
      </c>
      <c r="F10" s="36" t="s">
        <v>50</v>
      </c>
      <c r="G10" s="34" t="s">
        <v>56</v>
      </c>
      <c r="H10" s="33" t="s">
        <v>52</v>
      </c>
      <c r="I10" s="36" t="s">
        <v>50</v>
      </c>
      <c r="J10" s="33" t="s">
        <v>52</v>
      </c>
      <c r="K10" s="26" t="s">
        <v>1288</v>
      </c>
    </row>
    <row r="11" spans="1:11" ht="27.75" customHeight="1" x14ac:dyDescent="0.35">
      <c r="A11" s="14" t="s">
        <v>1289</v>
      </c>
      <c r="B11" s="36" t="s">
        <v>50</v>
      </c>
      <c r="C11" s="35" t="s">
        <v>54</v>
      </c>
      <c r="D11" s="33" t="s">
        <v>52</v>
      </c>
      <c r="E11" s="36" t="s">
        <v>50</v>
      </c>
      <c r="F11" s="33" t="s">
        <v>52</v>
      </c>
      <c r="G11" s="34" t="s">
        <v>56</v>
      </c>
      <c r="H11" s="33" t="s">
        <v>52</v>
      </c>
      <c r="I11" s="35" t="s">
        <v>54</v>
      </c>
      <c r="J11" s="36" t="s">
        <v>50</v>
      </c>
      <c r="K11" s="26" t="s">
        <v>1290</v>
      </c>
    </row>
    <row r="12" spans="1:11" ht="27.75" customHeight="1" x14ac:dyDescent="0.35">
      <c r="A12" s="14" t="s">
        <v>1291</v>
      </c>
      <c r="B12" s="35" t="s">
        <v>54</v>
      </c>
      <c r="C12" s="35" t="s">
        <v>54</v>
      </c>
      <c r="D12" s="34" t="s">
        <v>56</v>
      </c>
      <c r="E12" s="36" t="s">
        <v>50</v>
      </c>
      <c r="F12" s="34" t="s">
        <v>56</v>
      </c>
      <c r="G12" s="33" t="s">
        <v>52</v>
      </c>
      <c r="H12" s="35" t="s">
        <v>54</v>
      </c>
      <c r="I12" s="35" t="s">
        <v>54</v>
      </c>
      <c r="J12" s="33" t="s">
        <v>52</v>
      </c>
      <c r="K12" s="26" t="s">
        <v>1292</v>
      </c>
    </row>
    <row r="13" spans="1:11" ht="27.75" customHeight="1" x14ac:dyDescent="0.35">
      <c r="A13" s="14" t="s">
        <v>1293</v>
      </c>
      <c r="B13" s="35" t="s">
        <v>54</v>
      </c>
      <c r="C13" s="35" t="s">
        <v>54</v>
      </c>
      <c r="D13" s="34" t="s">
        <v>56</v>
      </c>
      <c r="E13" s="35" t="s">
        <v>54</v>
      </c>
      <c r="F13" s="34" t="s">
        <v>56</v>
      </c>
      <c r="G13" s="35" t="s">
        <v>54</v>
      </c>
      <c r="H13" s="35" t="s">
        <v>54</v>
      </c>
      <c r="I13" s="35" t="s">
        <v>54</v>
      </c>
      <c r="J13" s="33" t="s">
        <v>52</v>
      </c>
      <c r="K13" s="26" t="s">
        <v>56</v>
      </c>
    </row>
    <row r="14" spans="1:11" ht="27.75" customHeight="1" x14ac:dyDescent="0.35">
      <c r="A14" s="14" t="s">
        <v>1294</v>
      </c>
      <c r="B14" s="35" t="s">
        <v>54</v>
      </c>
      <c r="C14" s="35" t="s">
        <v>54</v>
      </c>
      <c r="D14" s="35" t="s">
        <v>54</v>
      </c>
      <c r="E14" s="34" t="s">
        <v>56</v>
      </c>
      <c r="F14" s="35" t="s">
        <v>54</v>
      </c>
      <c r="G14" s="35" t="s">
        <v>54</v>
      </c>
      <c r="H14" s="35" t="s">
        <v>54</v>
      </c>
      <c r="I14" s="35" t="s">
        <v>54</v>
      </c>
      <c r="J14" s="36" t="s">
        <v>50</v>
      </c>
      <c r="K14" s="26" t="s">
        <v>1295</v>
      </c>
    </row>
    <row r="15" spans="1:11" ht="27.75" customHeight="1" x14ac:dyDescent="0.35">
      <c r="A15" s="14" t="s">
        <v>1296</v>
      </c>
      <c r="B15" s="35" t="s">
        <v>54</v>
      </c>
      <c r="C15" s="35" t="s">
        <v>54</v>
      </c>
      <c r="D15" s="34" t="s">
        <v>56</v>
      </c>
      <c r="E15" s="33" t="s">
        <v>52</v>
      </c>
      <c r="F15" s="34" t="s">
        <v>56</v>
      </c>
      <c r="G15" s="35" t="s">
        <v>54</v>
      </c>
      <c r="H15" s="33" t="s">
        <v>52</v>
      </c>
      <c r="I15" s="33" t="s">
        <v>52</v>
      </c>
      <c r="J15" s="33" t="s">
        <v>52</v>
      </c>
      <c r="K15" s="26" t="s">
        <v>1297</v>
      </c>
    </row>
    <row r="16" spans="1:11" ht="27.75" customHeight="1" x14ac:dyDescent="0.35">
      <c r="A16" s="14" t="s">
        <v>1298</v>
      </c>
      <c r="B16" s="33" t="s">
        <v>52</v>
      </c>
      <c r="C16" s="33" t="s">
        <v>52</v>
      </c>
      <c r="D16" s="35" t="s">
        <v>54</v>
      </c>
      <c r="E16" s="33" t="s">
        <v>52</v>
      </c>
      <c r="F16" s="36" t="s">
        <v>50</v>
      </c>
      <c r="G16" s="35" t="s">
        <v>54</v>
      </c>
      <c r="H16" s="33" t="s">
        <v>52</v>
      </c>
      <c r="I16" s="33" t="s">
        <v>52</v>
      </c>
      <c r="J16" s="36" t="s">
        <v>50</v>
      </c>
      <c r="K16" s="26" t="s">
        <v>1299</v>
      </c>
    </row>
    <row r="17" spans="1:11" ht="27.75" customHeight="1" x14ac:dyDescent="0.35">
      <c r="A17" s="14" t="s">
        <v>1300</v>
      </c>
      <c r="B17" s="33" t="s">
        <v>52</v>
      </c>
      <c r="C17" s="35" t="s">
        <v>54</v>
      </c>
      <c r="D17" s="33" t="s">
        <v>52</v>
      </c>
      <c r="E17" s="33" t="s">
        <v>52</v>
      </c>
      <c r="F17" s="36" t="s">
        <v>50</v>
      </c>
      <c r="G17" s="34" t="s">
        <v>56</v>
      </c>
      <c r="H17" s="35" t="s">
        <v>54</v>
      </c>
      <c r="I17" s="33" t="s">
        <v>52</v>
      </c>
      <c r="J17" s="36" t="s">
        <v>50</v>
      </c>
      <c r="K17" s="26" t="s">
        <v>1301</v>
      </c>
    </row>
    <row r="18" spans="1:11" ht="27.75" customHeight="1" x14ac:dyDescent="0.35">
      <c r="A18" s="14" t="s">
        <v>1302</v>
      </c>
      <c r="B18" s="37" t="s">
        <v>59</v>
      </c>
      <c r="C18" s="35" t="s">
        <v>54</v>
      </c>
      <c r="D18" s="37" t="s">
        <v>59</v>
      </c>
      <c r="E18" s="33" t="s">
        <v>52</v>
      </c>
      <c r="F18" s="37" t="s">
        <v>59</v>
      </c>
      <c r="G18" s="35" t="s">
        <v>54</v>
      </c>
      <c r="H18" s="35" t="s">
        <v>54</v>
      </c>
      <c r="I18" s="36" t="s">
        <v>50</v>
      </c>
      <c r="J18" s="36" t="s">
        <v>50</v>
      </c>
      <c r="K18" s="26" t="s">
        <v>1303</v>
      </c>
    </row>
    <row r="19" spans="1:11" ht="27.75" customHeight="1" x14ac:dyDescent="0.35">
      <c r="A19" s="14" t="s">
        <v>1304</v>
      </c>
      <c r="B19" s="34" t="s">
        <v>56</v>
      </c>
      <c r="C19" s="35" t="s">
        <v>54</v>
      </c>
      <c r="D19" s="35" t="s">
        <v>54</v>
      </c>
      <c r="E19" s="37" t="s">
        <v>59</v>
      </c>
      <c r="F19" s="37" t="s">
        <v>59</v>
      </c>
      <c r="G19" s="36" t="s">
        <v>50</v>
      </c>
      <c r="H19" s="33" t="s">
        <v>52</v>
      </c>
      <c r="I19" s="33" t="s">
        <v>52</v>
      </c>
      <c r="J19" s="37" t="s">
        <v>59</v>
      </c>
      <c r="K19" s="26" t="s">
        <v>1305</v>
      </c>
    </row>
    <row r="20" spans="1:11" ht="27.75" customHeight="1" x14ac:dyDescent="0.35">
      <c r="A20" s="14" t="s">
        <v>1306</v>
      </c>
      <c r="B20" s="35" t="s">
        <v>54</v>
      </c>
      <c r="C20" s="35" t="s">
        <v>54</v>
      </c>
      <c r="D20" s="33" t="s">
        <v>52</v>
      </c>
      <c r="E20" s="35" t="s">
        <v>54</v>
      </c>
      <c r="F20" s="36" t="s">
        <v>50</v>
      </c>
      <c r="G20" s="36" t="s">
        <v>50</v>
      </c>
      <c r="H20" s="36" t="s">
        <v>50</v>
      </c>
      <c r="I20" s="36" t="s">
        <v>50</v>
      </c>
      <c r="J20" s="36" t="s">
        <v>50</v>
      </c>
      <c r="K20" s="26" t="s">
        <v>1307</v>
      </c>
    </row>
    <row r="21" spans="1:11" ht="27.75" customHeight="1" x14ac:dyDescent="0.35">
      <c r="A21" s="14" t="s">
        <v>1308</v>
      </c>
      <c r="B21" s="37" t="s">
        <v>59</v>
      </c>
      <c r="C21" s="37" t="s">
        <v>59</v>
      </c>
      <c r="D21" s="34" t="s">
        <v>56</v>
      </c>
      <c r="E21" s="37" t="s">
        <v>59</v>
      </c>
      <c r="F21" s="37" t="s">
        <v>59</v>
      </c>
      <c r="G21" s="37" t="s">
        <v>59</v>
      </c>
      <c r="H21" s="37" t="s">
        <v>59</v>
      </c>
      <c r="I21" s="37" t="s">
        <v>59</v>
      </c>
      <c r="J21" s="37" t="s">
        <v>59</v>
      </c>
      <c r="K21" s="26" t="s">
        <v>1309</v>
      </c>
    </row>
    <row r="22" spans="1:11" ht="27.75" customHeight="1" x14ac:dyDescent="0.35">
      <c r="A22" s="14" t="s">
        <v>1310</v>
      </c>
      <c r="B22" s="36" t="s">
        <v>50</v>
      </c>
      <c r="C22" s="33" t="s">
        <v>52</v>
      </c>
      <c r="D22" s="35" t="s">
        <v>1287</v>
      </c>
      <c r="E22" s="33" t="s">
        <v>52</v>
      </c>
      <c r="F22" s="37" t="s">
        <v>59</v>
      </c>
      <c r="G22" s="33" t="s">
        <v>52</v>
      </c>
      <c r="H22" s="33" t="s">
        <v>52</v>
      </c>
      <c r="I22" s="33" t="s">
        <v>52</v>
      </c>
      <c r="J22" s="36" t="s">
        <v>50</v>
      </c>
      <c r="K22" s="26" t="s">
        <v>1311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L3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16" customWidth="1"/>
    <col min="2" max="3" width="12" customWidth="1"/>
    <col min="4" max="4" width="20" customWidth="1"/>
    <col min="5" max="6" width="12" customWidth="1"/>
    <col min="7" max="7" width="18" customWidth="1"/>
    <col min="8" max="8" width="14" customWidth="1"/>
    <col min="9" max="10" width="11" customWidth="1"/>
    <col min="11" max="11" width="62" customWidth="1"/>
    <col min="12" max="12" width="14" customWidth="1"/>
  </cols>
  <sheetData>
    <row r="1" spans="1:12" ht="21.75" customHeight="1" x14ac:dyDescent="0.4">
      <c r="A1" s="7" t="s">
        <v>1312</v>
      </c>
    </row>
    <row r="2" spans="1:12" x14ac:dyDescent="0.35">
      <c r="A2" s="8" t="s">
        <v>1313</v>
      </c>
    </row>
    <row r="4" spans="1:12" ht="43.5" customHeight="1" x14ac:dyDescent="0.35">
      <c r="A4" s="9" t="s">
        <v>89</v>
      </c>
      <c r="B4" s="9" t="s">
        <v>1314</v>
      </c>
      <c r="C4" s="9" t="s">
        <v>1315</v>
      </c>
      <c r="D4" s="9" t="s">
        <v>1316</v>
      </c>
      <c r="E4" s="9" t="s">
        <v>1317</v>
      </c>
      <c r="F4" s="9" t="s">
        <v>1318</v>
      </c>
      <c r="G4" s="9" t="s">
        <v>1319</v>
      </c>
      <c r="H4" s="9" t="s">
        <v>1320</v>
      </c>
      <c r="I4" s="9" t="s">
        <v>1321</v>
      </c>
      <c r="J4" s="9" t="s">
        <v>1322</v>
      </c>
      <c r="K4" s="9" t="s">
        <v>1323</v>
      </c>
      <c r="L4" s="9" t="s">
        <v>1324</v>
      </c>
    </row>
    <row r="5" spans="1:12" ht="45.75" customHeight="1" x14ac:dyDescent="0.35">
      <c r="A5" s="18" t="s">
        <v>102</v>
      </c>
      <c r="B5" s="38" t="s">
        <v>300</v>
      </c>
      <c r="C5" s="39" t="s">
        <v>1325</v>
      </c>
      <c r="D5" s="39" t="s">
        <v>1326</v>
      </c>
      <c r="E5" s="40" t="s">
        <v>1327</v>
      </c>
      <c r="F5" s="38" t="s">
        <v>37</v>
      </c>
      <c r="G5" s="40" t="s">
        <v>1327</v>
      </c>
      <c r="H5" s="40" t="s">
        <v>1328</v>
      </c>
      <c r="I5" s="40" t="s">
        <v>1327</v>
      </c>
      <c r="J5" s="41" t="s">
        <v>1329</v>
      </c>
      <c r="K5" s="42" t="s">
        <v>1330</v>
      </c>
      <c r="L5" s="15" t="s">
        <v>276</v>
      </c>
    </row>
    <row r="6" spans="1:12" ht="45.75" customHeight="1" x14ac:dyDescent="0.35">
      <c r="A6" s="18" t="s">
        <v>114</v>
      </c>
      <c r="B6" s="39" t="s">
        <v>1325</v>
      </c>
      <c r="C6" s="39" t="s">
        <v>1325</v>
      </c>
      <c r="D6" s="38" t="s">
        <v>1331</v>
      </c>
      <c r="E6" s="39" t="s">
        <v>1325</v>
      </c>
      <c r="F6" s="40" t="s">
        <v>1327</v>
      </c>
      <c r="G6" s="39" t="s">
        <v>1332</v>
      </c>
      <c r="H6" s="39" t="s">
        <v>1333</v>
      </c>
      <c r="I6" s="39" t="s">
        <v>1325</v>
      </c>
      <c r="J6" s="41" t="s">
        <v>1329</v>
      </c>
      <c r="K6" s="42" t="s">
        <v>1334</v>
      </c>
      <c r="L6" s="15" t="s">
        <v>201</v>
      </c>
    </row>
    <row r="7" spans="1:12" ht="45.75" customHeight="1" x14ac:dyDescent="0.35">
      <c r="A7" s="18" t="s">
        <v>126</v>
      </c>
      <c r="B7" s="39" t="s">
        <v>1325</v>
      </c>
      <c r="C7" s="39" t="s">
        <v>1325</v>
      </c>
      <c r="D7" s="39" t="s">
        <v>1335</v>
      </c>
      <c r="E7" s="41" t="s">
        <v>1329</v>
      </c>
      <c r="F7" s="41" t="s">
        <v>1329</v>
      </c>
      <c r="G7" s="41" t="s">
        <v>1329</v>
      </c>
      <c r="H7" s="41" t="s">
        <v>1329</v>
      </c>
      <c r="I7" s="41" t="s">
        <v>1329</v>
      </c>
      <c r="J7" s="43" t="s">
        <v>1336</v>
      </c>
      <c r="K7" s="42" t="s">
        <v>1337</v>
      </c>
      <c r="L7" s="15" t="s">
        <v>300</v>
      </c>
    </row>
    <row r="8" spans="1:12" ht="45.75" customHeight="1" x14ac:dyDescent="0.35">
      <c r="A8" s="18" t="s">
        <v>137</v>
      </c>
      <c r="B8" s="38" t="s">
        <v>1338</v>
      </c>
      <c r="C8" s="38" t="s">
        <v>1339</v>
      </c>
      <c r="D8" s="40" t="s">
        <v>1327</v>
      </c>
      <c r="E8" s="40" t="s">
        <v>1327</v>
      </c>
      <c r="F8" s="40" t="s">
        <v>1327</v>
      </c>
      <c r="G8" s="39" t="s">
        <v>1340</v>
      </c>
      <c r="H8" s="41" t="s">
        <v>1329</v>
      </c>
      <c r="I8" s="41" t="s">
        <v>1329</v>
      </c>
      <c r="J8" s="41" t="s">
        <v>1329</v>
      </c>
      <c r="K8" s="42" t="s">
        <v>1341</v>
      </c>
      <c r="L8" s="15" t="s">
        <v>201</v>
      </c>
    </row>
    <row r="9" spans="1:12" ht="45.75" customHeight="1" x14ac:dyDescent="0.35">
      <c r="A9" s="18" t="s">
        <v>148</v>
      </c>
      <c r="B9" s="40" t="s">
        <v>1327</v>
      </c>
      <c r="C9" s="41" t="s">
        <v>1329</v>
      </c>
      <c r="D9" s="41" t="s">
        <v>1329</v>
      </c>
      <c r="E9" s="41" t="s">
        <v>1329</v>
      </c>
      <c r="F9" s="41" t="s">
        <v>1329</v>
      </c>
      <c r="G9" s="41" t="s">
        <v>1329</v>
      </c>
      <c r="H9" s="41" t="s">
        <v>1329</v>
      </c>
      <c r="I9" s="41" t="s">
        <v>1329</v>
      </c>
      <c r="J9" s="41" t="s">
        <v>1329</v>
      </c>
      <c r="K9" s="42" t="s">
        <v>1342</v>
      </c>
      <c r="L9" s="15" t="s">
        <v>300</v>
      </c>
    </row>
    <row r="10" spans="1:12" ht="45.75" customHeight="1" x14ac:dyDescent="0.35">
      <c r="A10" s="18" t="s">
        <v>159</v>
      </c>
      <c r="B10" s="39" t="s">
        <v>1325</v>
      </c>
      <c r="C10" s="41" t="s">
        <v>1329</v>
      </c>
      <c r="D10" s="39" t="s">
        <v>1325</v>
      </c>
      <c r="E10" s="39" t="s">
        <v>1325</v>
      </c>
      <c r="F10" s="39" t="s">
        <v>1343</v>
      </c>
      <c r="G10" s="39" t="s">
        <v>1325</v>
      </c>
      <c r="H10" s="38" t="s">
        <v>1344</v>
      </c>
      <c r="I10" s="39" t="s">
        <v>1325</v>
      </c>
      <c r="J10" s="40" t="s">
        <v>1345</v>
      </c>
      <c r="K10" s="42" t="s">
        <v>1346</v>
      </c>
      <c r="L10" s="15" t="s">
        <v>276</v>
      </c>
    </row>
    <row r="11" spans="1:12" ht="45.75" customHeight="1" x14ac:dyDescent="0.35">
      <c r="A11" s="18" t="s">
        <v>170</v>
      </c>
      <c r="B11" s="39" t="s">
        <v>1325</v>
      </c>
      <c r="C11" s="39" t="s">
        <v>1325</v>
      </c>
      <c r="D11" s="39" t="s">
        <v>1325</v>
      </c>
      <c r="E11" s="40" t="s">
        <v>1327</v>
      </c>
      <c r="F11" s="40" t="s">
        <v>1327</v>
      </c>
      <c r="G11" s="39" t="s">
        <v>1347</v>
      </c>
      <c r="H11" s="40" t="s">
        <v>1327</v>
      </c>
      <c r="I11" s="40" t="s">
        <v>1327</v>
      </c>
      <c r="J11" s="41" t="s">
        <v>1329</v>
      </c>
      <c r="K11" s="42" t="s">
        <v>1348</v>
      </c>
      <c r="L11" s="15" t="s">
        <v>276</v>
      </c>
    </row>
    <row r="12" spans="1:12" ht="45.75" customHeight="1" x14ac:dyDescent="0.35">
      <c r="A12" s="18" t="s">
        <v>181</v>
      </c>
      <c r="B12" s="39" t="s">
        <v>1325</v>
      </c>
      <c r="C12" s="39" t="s">
        <v>1325</v>
      </c>
      <c r="D12" s="39" t="s">
        <v>1325</v>
      </c>
      <c r="E12" s="40" t="s">
        <v>1327</v>
      </c>
      <c r="F12" s="38" t="s">
        <v>37</v>
      </c>
      <c r="G12" s="40" t="s">
        <v>1327</v>
      </c>
      <c r="H12" s="39" t="s">
        <v>1349</v>
      </c>
      <c r="I12" s="40" t="s">
        <v>1327</v>
      </c>
      <c r="J12" s="41" t="s">
        <v>1329</v>
      </c>
      <c r="K12" s="42" t="s">
        <v>1350</v>
      </c>
      <c r="L12" s="15" t="s">
        <v>276</v>
      </c>
    </row>
    <row r="13" spans="1:12" ht="45.75" customHeight="1" x14ac:dyDescent="0.35">
      <c r="A13" s="18" t="s">
        <v>1351</v>
      </c>
      <c r="B13" s="39" t="s">
        <v>1325</v>
      </c>
      <c r="C13" s="39" t="s">
        <v>1325</v>
      </c>
      <c r="D13" s="39" t="s">
        <v>1325</v>
      </c>
      <c r="E13" s="38" t="s">
        <v>37</v>
      </c>
      <c r="F13" s="38" t="s">
        <v>37</v>
      </c>
      <c r="G13" s="40" t="s">
        <v>1327</v>
      </c>
      <c r="H13" s="41" t="s">
        <v>1329</v>
      </c>
      <c r="I13" s="40" t="s">
        <v>1327</v>
      </c>
      <c r="J13" s="41" t="s">
        <v>1329</v>
      </c>
      <c r="K13" s="42" t="s">
        <v>1352</v>
      </c>
      <c r="L13" s="15" t="s">
        <v>1353</v>
      </c>
    </row>
    <row r="14" spans="1:12" ht="45.75" customHeight="1" x14ac:dyDescent="0.35">
      <c r="A14" s="18" t="s">
        <v>191</v>
      </c>
      <c r="B14" s="39" t="s">
        <v>1325</v>
      </c>
      <c r="C14" s="39" t="s">
        <v>1325</v>
      </c>
      <c r="D14" s="39" t="s">
        <v>1325</v>
      </c>
      <c r="E14" s="40" t="s">
        <v>1327</v>
      </c>
      <c r="F14" s="38" t="s">
        <v>37</v>
      </c>
      <c r="G14" s="40" t="s">
        <v>1327</v>
      </c>
      <c r="H14" s="40" t="s">
        <v>1327</v>
      </c>
      <c r="I14" s="40" t="s">
        <v>1327</v>
      </c>
      <c r="J14" s="41" t="s">
        <v>1329</v>
      </c>
      <c r="K14" s="42" t="s">
        <v>1354</v>
      </c>
      <c r="L14" s="15" t="s">
        <v>1353</v>
      </c>
    </row>
    <row r="15" spans="1:12" ht="45.75" customHeight="1" x14ac:dyDescent="0.35">
      <c r="A15" s="18" t="s">
        <v>334</v>
      </c>
      <c r="B15" s="38" t="s">
        <v>1338</v>
      </c>
      <c r="C15" s="38" t="s">
        <v>1338</v>
      </c>
      <c r="D15" s="39" t="s">
        <v>1355</v>
      </c>
      <c r="E15" s="39" t="s">
        <v>1325</v>
      </c>
      <c r="F15" s="40" t="s">
        <v>1327</v>
      </c>
      <c r="G15" s="40" t="s">
        <v>1327</v>
      </c>
      <c r="H15" s="41" t="s">
        <v>1329</v>
      </c>
      <c r="I15" s="40" t="s">
        <v>1327</v>
      </c>
      <c r="J15" s="40" t="s">
        <v>1356</v>
      </c>
      <c r="K15" s="42" t="s">
        <v>1357</v>
      </c>
      <c r="L15" s="15" t="s">
        <v>276</v>
      </c>
    </row>
    <row r="16" spans="1:12" ht="45.75" customHeight="1" x14ac:dyDescent="0.35">
      <c r="A16" s="18" t="s">
        <v>301</v>
      </c>
      <c r="B16" s="41" t="s">
        <v>1329</v>
      </c>
      <c r="C16" s="41" t="s">
        <v>1329</v>
      </c>
      <c r="D16" s="39" t="s">
        <v>1325</v>
      </c>
      <c r="E16" s="39" t="s">
        <v>1325</v>
      </c>
      <c r="F16" s="39" t="s">
        <v>1325</v>
      </c>
      <c r="G16" s="39" t="s">
        <v>1325</v>
      </c>
      <c r="H16" s="38" t="s">
        <v>1358</v>
      </c>
      <c r="I16" s="39" t="s">
        <v>1325</v>
      </c>
      <c r="J16" s="41" t="s">
        <v>1329</v>
      </c>
      <c r="K16" s="42" t="s">
        <v>1359</v>
      </c>
      <c r="L16" s="15" t="s">
        <v>300</v>
      </c>
    </row>
    <row r="17" spans="1:12" ht="45.75" customHeight="1" x14ac:dyDescent="0.35">
      <c r="A17" s="18" t="s">
        <v>255</v>
      </c>
      <c r="B17" s="39" t="s">
        <v>1325</v>
      </c>
      <c r="C17" s="39" t="s">
        <v>1325</v>
      </c>
      <c r="D17" s="39" t="s">
        <v>1325</v>
      </c>
      <c r="E17" s="43" t="s">
        <v>1336</v>
      </c>
      <c r="F17" s="43" t="s">
        <v>1336</v>
      </c>
      <c r="G17" s="39" t="s">
        <v>1325</v>
      </c>
      <c r="H17" s="39" t="s">
        <v>1325</v>
      </c>
      <c r="I17" s="39" t="s">
        <v>1325</v>
      </c>
      <c r="J17" s="43" t="s">
        <v>1336</v>
      </c>
      <c r="K17" s="42" t="s">
        <v>1360</v>
      </c>
      <c r="L17" s="15" t="s">
        <v>300</v>
      </c>
    </row>
    <row r="19" spans="1:12" x14ac:dyDescent="0.35">
      <c r="A19" s="16" t="s">
        <v>1361</v>
      </c>
    </row>
    <row r="20" spans="1:12" x14ac:dyDescent="0.35">
      <c r="A20" s="17"/>
    </row>
    <row r="21" spans="1:12" x14ac:dyDescent="0.35">
      <c r="A21" s="20" t="s">
        <v>1362</v>
      </c>
    </row>
    <row r="22" spans="1:12" x14ac:dyDescent="0.35">
      <c r="A22" s="17" t="s">
        <v>1363</v>
      </c>
    </row>
    <row r="23" spans="1:12" x14ac:dyDescent="0.35">
      <c r="A23" s="17" t="s">
        <v>1364</v>
      </c>
    </row>
    <row r="24" spans="1:12" x14ac:dyDescent="0.35">
      <c r="A24" s="17"/>
    </row>
    <row r="25" spans="1:12" x14ac:dyDescent="0.35">
      <c r="A25" s="20" t="s">
        <v>1365</v>
      </c>
    </row>
    <row r="26" spans="1:12" x14ac:dyDescent="0.35">
      <c r="A26" s="17" t="s">
        <v>1366</v>
      </c>
    </row>
    <row r="27" spans="1:12" x14ac:dyDescent="0.35">
      <c r="A27" s="17"/>
    </row>
    <row r="28" spans="1:12" x14ac:dyDescent="0.35">
      <c r="A28" s="20" t="s">
        <v>1367</v>
      </c>
    </row>
    <row r="29" spans="1:12" x14ac:dyDescent="0.35">
      <c r="A29" s="17" t="s">
        <v>1368</v>
      </c>
    </row>
    <row r="30" spans="1:12" x14ac:dyDescent="0.35">
      <c r="A30" s="17" t="s">
        <v>1369</v>
      </c>
    </row>
    <row r="31" spans="1:12" x14ac:dyDescent="0.35">
      <c r="A31" s="17" t="s">
        <v>1370</v>
      </c>
    </row>
    <row r="32" spans="1:12" x14ac:dyDescent="0.35">
      <c r="A32" s="17"/>
    </row>
    <row r="33" spans="1:1" x14ac:dyDescent="0.35">
      <c r="A33" s="20" t="s">
        <v>1371</v>
      </c>
    </row>
    <row r="34" spans="1:1" x14ac:dyDescent="0.35">
      <c r="A34" s="17" t="s">
        <v>1372</v>
      </c>
    </row>
    <row r="35" spans="1:1" x14ac:dyDescent="0.35">
      <c r="A35" s="17" t="s">
        <v>1373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E47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18" customWidth="1"/>
    <col min="3" max="3" width="54" customWidth="1"/>
    <col min="4" max="4" width="44" customWidth="1"/>
    <col min="5" max="5" width="56" customWidth="1"/>
  </cols>
  <sheetData>
    <row r="1" spans="1:5" ht="21.75" customHeight="1" x14ac:dyDescent="0.4">
      <c r="A1" s="7" t="s">
        <v>1374</v>
      </c>
    </row>
    <row r="2" spans="1:5" x14ac:dyDescent="0.35">
      <c r="A2" s="8" t="s">
        <v>1375</v>
      </c>
    </row>
    <row r="4" spans="1:5" ht="33.75" customHeight="1" x14ac:dyDescent="0.35">
      <c r="A4" s="9" t="s">
        <v>1376</v>
      </c>
      <c r="B4" s="9" t="s">
        <v>1377</v>
      </c>
      <c r="C4" s="9" t="s">
        <v>553</v>
      </c>
      <c r="D4" s="9" t="s">
        <v>1378</v>
      </c>
      <c r="E4" s="9" t="s">
        <v>1379</v>
      </c>
    </row>
    <row r="5" spans="1:5" ht="30" customHeight="1" x14ac:dyDescent="0.35">
      <c r="A5" s="44" t="s">
        <v>1380</v>
      </c>
      <c r="B5" s="13" t="s">
        <v>1381</v>
      </c>
      <c r="C5" s="14" t="s">
        <v>1382</v>
      </c>
      <c r="D5" s="15" t="s">
        <v>1383</v>
      </c>
      <c r="E5" s="15" t="s">
        <v>1384</v>
      </c>
    </row>
    <row r="6" spans="1:5" ht="30" customHeight="1" x14ac:dyDescent="0.35">
      <c r="A6" s="44" t="s">
        <v>1380</v>
      </c>
      <c r="B6" s="13" t="s">
        <v>1381</v>
      </c>
      <c r="C6" s="14" t="s">
        <v>1385</v>
      </c>
      <c r="D6" s="15" t="s">
        <v>1386</v>
      </c>
      <c r="E6" s="15" t="s">
        <v>1387</v>
      </c>
    </row>
    <row r="7" spans="1:5" ht="30" customHeight="1" x14ac:dyDescent="0.35">
      <c r="A7" s="44" t="s">
        <v>1380</v>
      </c>
      <c r="B7" s="13" t="s">
        <v>1381</v>
      </c>
      <c r="C7" s="14" t="s">
        <v>1388</v>
      </c>
      <c r="D7" s="15" t="s">
        <v>1386</v>
      </c>
      <c r="E7" s="15" t="s">
        <v>1389</v>
      </c>
    </row>
    <row r="8" spans="1:5" ht="30" customHeight="1" x14ac:dyDescent="0.35">
      <c r="A8" s="44" t="s">
        <v>1380</v>
      </c>
      <c r="B8" s="13" t="s">
        <v>1381</v>
      </c>
      <c r="C8" s="14" t="s">
        <v>1390</v>
      </c>
      <c r="D8" s="15" t="s">
        <v>372</v>
      </c>
      <c r="E8" s="15" t="s">
        <v>1391</v>
      </c>
    </row>
    <row r="9" spans="1:5" ht="30" customHeight="1" x14ac:dyDescent="0.35">
      <c r="A9" s="44" t="s">
        <v>1380</v>
      </c>
      <c r="B9" s="13" t="s">
        <v>1381</v>
      </c>
      <c r="C9" s="14" t="s">
        <v>1392</v>
      </c>
      <c r="D9" s="15" t="s">
        <v>1393</v>
      </c>
      <c r="E9" s="15" t="s">
        <v>1394</v>
      </c>
    </row>
    <row r="10" spans="1:5" ht="30" customHeight="1" x14ac:dyDescent="0.35">
      <c r="A10" s="44" t="s">
        <v>1380</v>
      </c>
      <c r="B10" s="13" t="s">
        <v>1395</v>
      </c>
      <c r="C10" s="14" t="s">
        <v>1396</v>
      </c>
      <c r="D10" s="15" t="s">
        <v>372</v>
      </c>
      <c r="E10" s="15" t="s">
        <v>1397</v>
      </c>
    </row>
    <row r="11" spans="1:5" ht="30" customHeight="1" x14ac:dyDescent="0.35">
      <c r="A11" s="44" t="s">
        <v>1380</v>
      </c>
      <c r="B11" s="13" t="s">
        <v>1395</v>
      </c>
      <c r="C11" s="14" t="s">
        <v>1398</v>
      </c>
      <c r="D11" s="15" t="s">
        <v>372</v>
      </c>
      <c r="E11" s="15" t="s">
        <v>1397</v>
      </c>
    </row>
    <row r="12" spans="1:5" ht="30" customHeight="1" x14ac:dyDescent="0.35">
      <c r="A12" s="44" t="s">
        <v>1380</v>
      </c>
      <c r="B12" s="13" t="s">
        <v>1395</v>
      </c>
      <c r="C12" s="14" t="s">
        <v>766</v>
      </c>
      <c r="D12" s="15" t="s">
        <v>1399</v>
      </c>
      <c r="E12" s="15" t="s">
        <v>1397</v>
      </c>
    </row>
    <row r="13" spans="1:5" ht="30" customHeight="1" x14ac:dyDescent="0.35">
      <c r="A13" s="44" t="s">
        <v>1380</v>
      </c>
      <c r="B13" s="13" t="s">
        <v>1400</v>
      </c>
      <c r="C13" s="14" t="s">
        <v>1401</v>
      </c>
      <c r="D13" s="15" t="s">
        <v>372</v>
      </c>
      <c r="E13" s="15" t="s">
        <v>1397</v>
      </c>
    </row>
    <row r="14" spans="1:5" ht="30" customHeight="1" x14ac:dyDescent="0.35">
      <c r="A14" s="44" t="s">
        <v>1380</v>
      </c>
      <c r="B14" s="13" t="s">
        <v>1400</v>
      </c>
      <c r="C14" s="14" t="s">
        <v>1402</v>
      </c>
      <c r="D14" s="15" t="s">
        <v>1403</v>
      </c>
      <c r="E14" s="15" t="s">
        <v>1397</v>
      </c>
    </row>
    <row r="15" spans="1:5" ht="30" customHeight="1" x14ac:dyDescent="0.35">
      <c r="A15" s="44" t="s">
        <v>1380</v>
      </c>
      <c r="B15" s="13" t="s">
        <v>1400</v>
      </c>
      <c r="C15" s="14" t="s">
        <v>1404</v>
      </c>
      <c r="D15" s="15" t="s">
        <v>1405</v>
      </c>
      <c r="E15" s="15" t="s">
        <v>1397</v>
      </c>
    </row>
    <row r="16" spans="1:5" ht="30" customHeight="1" x14ac:dyDescent="0.35">
      <c r="A16" s="44" t="s">
        <v>1380</v>
      </c>
      <c r="B16" s="13" t="s">
        <v>1400</v>
      </c>
      <c r="C16" s="14" t="s">
        <v>1406</v>
      </c>
      <c r="D16" s="15" t="s">
        <v>372</v>
      </c>
      <c r="E16" s="15" t="s">
        <v>1397</v>
      </c>
    </row>
    <row r="17" spans="1:5" ht="30" customHeight="1" x14ac:dyDescent="0.35">
      <c r="A17" s="44" t="s">
        <v>1380</v>
      </c>
      <c r="B17" s="13" t="s">
        <v>1400</v>
      </c>
      <c r="C17" s="14" t="s">
        <v>1407</v>
      </c>
      <c r="D17" s="15" t="s">
        <v>372</v>
      </c>
      <c r="E17" s="15" t="s">
        <v>1397</v>
      </c>
    </row>
    <row r="18" spans="1:5" ht="30" customHeight="1" x14ac:dyDescent="0.35">
      <c r="A18" s="44" t="s">
        <v>1380</v>
      </c>
      <c r="B18" s="13" t="s">
        <v>1408</v>
      </c>
      <c r="C18" s="14" t="s">
        <v>1409</v>
      </c>
      <c r="D18" s="15" t="s">
        <v>372</v>
      </c>
      <c r="E18" s="15" t="s">
        <v>1410</v>
      </c>
    </row>
    <row r="19" spans="1:5" ht="30" customHeight="1" x14ac:dyDescent="0.35">
      <c r="A19" s="44" t="s">
        <v>1380</v>
      </c>
      <c r="B19" s="13" t="s">
        <v>1411</v>
      </c>
      <c r="C19" s="14" t="s">
        <v>1412</v>
      </c>
      <c r="D19" s="15" t="s">
        <v>1413</v>
      </c>
      <c r="E19" s="15" t="s">
        <v>1397</v>
      </c>
    </row>
    <row r="20" spans="1:5" ht="30" customHeight="1" x14ac:dyDescent="0.35">
      <c r="A20" s="44" t="s">
        <v>1380</v>
      </c>
      <c r="B20" s="13" t="s">
        <v>1411</v>
      </c>
      <c r="C20" s="14" t="s">
        <v>1414</v>
      </c>
      <c r="D20" s="15" t="s">
        <v>372</v>
      </c>
      <c r="E20" s="15" t="s">
        <v>1397</v>
      </c>
    </row>
    <row r="21" spans="1:5" ht="30" customHeight="1" x14ac:dyDescent="0.35">
      <c r="A21" s="45" t="s">
        <v>1415</v>
      </c>
      <c r="B21" s="13" t="s">
        <v>1416</v>
      </c>
      <c r="C21" s="14" t="s">
        <v>1417</v>
      </c>
      <c r="D21" s="15" t="s">
        <v>1418</v>
      </c>
      <c r="E21" s="15" t="s">
        <v>1419</v>
      </c>
    </row>
    <row r="22" spans="1:5" ht="30" customHeight="1" x14ac:dyDescent="0.35">
      <c r="A22" s="45" t="s">
        <v>1415</v>
      </c>
      <c r="B22" s="13" t="s">
        <v>1420</v>
      </c>
      <c r="C22" s="14" t="s">
        <v>1421</v>
      </c>
      <c r="D22" s="15" t="s">
        <v>1422</v>
      </c>
      <c r="E22" s="15" t="s">
        <v>1423</v>
      </c>
    </row>
    <row r="23" spans="1:5" ht="30" customHeight="1" x14ac:dyDescent="0.35">
      <c r="A23" s="45" t="s">
        <v>1415</v>
      </c>
      <c r="B23" s="13" t="s">
        <v>1420</v>
      </c>
      <c r="C23" s="14" t="s">
        <v>1424</v>
      </c>
      <c r="D23" s="15" t="s">
        <v>126</v>
      </c>
      <c r="E23" s="15" t="s">
        <v>1425</v>
      </c>
    </row>
    <row r="24" spans="1:5" ht="30" customHeight="1" x14ac:dyDescent="0.35">
      <c r="A24" s="45" t="s">
        <v>1415</v>
      </c>
      <c r="B24" s="13" t="s">
        <v>1426</v>
      </c>
      <c r="C24" s="14" t="s">
        <v>1427</v>
      </c>
      <c r="D24" s="15" t="s">
        <v>1428</v>
      </c>
      <c r="E24" s="15" t="s">
        <v>1429</v>
      </c>
    </row>
    <row r="25" spans="1:5" ht="30" customHeight="1" x14ac:dyDescent="0.35">
      <c r="A25" s="45" t="s">
        <v>1415</v>
      </c>
      <c r="B25" s="13" t="s">
        <v>1430</v>
      </c>
      <c r="C25" s="14" t="s">
        <v>1431</v>
      </c>
      <c r="D25" s="15" t="s">
        <v>1432</v>
      </c>
      <c r="E25" s="15" t="s">
        <v>1433</v>
      </c>
    </row>
    <row r="26" spans="1:5" ht="30" customHeight="1" x14ac:dyDescent="0.35">
      <c r="A26" s="45" t="s">
        <v>1415</v>
      </c>
      <c r="B26" s="13" t="s">
        <v>1434</v>
      </c>
      <c r="C26" s="14" t="s">
        <v>1435</v>
      </c>
      <c r="D26" s="15" t="s">
        <v>1436</v>
      </c>
      <c r="E26" s="15" t="s">
        <v>1437</v>
      </c>
    </row>
    <row r="27" spans="1:5" ht="30" customHeight="1" x14ac:dyDescent="0.35">
      <c r="A27" s="45" t="s">
        <v>1415</v>
      </c>
      <c r="B27" s="13" t="s">
        <v>97</v>
      </c>
      <c r="C27" s="14" t="s">
        <v>1438</v>
      </c>
      <c r="D27" s="15" t="s">
        <v>1439</v>
      </c>
      <c r="E27" s="15" t="s">
        <v>1440</v>
      </c>
    </row>
    <row r="28" spans="1:5" ht="30" customHeight="1" x14ac:dyDescent="0.35">
      <c r="A28" s="45" t="s">
        <v>1415</v>
      </c>
      <c r="B28" s="13" t="s">
        <v>1441</v>
      </c>
      <c r="C28" s="14" t="s">
        <v>1442</v>
      </c>
      <c r="D28" s="15" t="s">
        <v>1443</v>
      </c>
      <c r="E28" s="15" t="s">
        <v>1444</v>
      </c>
    </row>
    <row r="29" spans="1:5" ht="30" customHeight="1" x14ac:dyDescent="0.35">
      <c r="A29" s="45" t="s">
        <v>1415</v>
      </c>
      <c r="B29" s="13" t="s">
        <v>1445</v>
      </c>
      <c r="C29" s="14" t="s">
        <v>1446</v>
      </c>
      <c r="D29" s="15" t="s">
        <v>1447</v>
      </c>
      <c r="E29" s="15" t="s">
        <v>1448</v>
      </c>
    </row>
    <row r="30" spans="1:5" ht="30" customHeight="1" x14ac:dyDescent="0.35">
      <c r="A30" s="45" t="s">
        <v>1415</v>
      </c>
      <c r="B30" s="13" t="s">
        <v>1449</v>
      </c>
      <c r="C30" s="14" t="s">
        <v>1450</v>
      </c>
      <c r="D30" s="15" t="s">
        <v>234</v>
      </c>
      <c r="E30" s="15" t="s">
        <v>1451</v>
      </c>
    </row>
    <row r="31" spans="1:5" ht="30" customHeight="1" x14ac:dyDescent="0.35">
      <c r="A31" s="45" t="s">
        <v>1415</v>
      </c>
      <c r="B31" s="13" t="s">
        <v>1452</v>
      </c>
      <c r="C31" s="14" t="s">
        <v>1453</v>
      </c>
      <c r="D31" s="15" t="s">
        <v>148</v>
      </c>
      <c r="E31" s="15" t="s">
        <v>1454</v>
      </c>
    </row>
    <row r="32" spans="1:5" ht="30" customHeight="1" x14ac:dyDescent="0.35">
      <c r="A32" s="45" t="s">
        <v>1415</v>
      </c>
      <c r="B32" s="13" t="s">
        <v>89</v>
      </c>
      <c r="C32" s="14" t="s">
        <v>1209</v>
      </c>
      <c r="D32" s="15" t="s">
        <v>1455</v>
      </c>
      <c r="E32" s="15" t="s">
        <v>1456</v>
      </c>
    </row>
    <row r="33" spans="1:5" ht="30" customHeight="1" x14ac:dyDescent="0.35">
      <c r="A33" s="45" t="s">
        <v>1415</v>
      </c>
      <c r="B33" s="13" t="s">
        <v>1457</v>
      </c>
      <c r="C33" s="14" t="s">
        <v>1458</v>
      </c>
      <c r="D33" s="15" t="s">
        <v>1459</v>
      </c>
      <c r="E33" s="15" t="s">
        <v>1460</v>
      </c>
    </row>
    <row r="34" spans="1:5" ht="30" customHeight="1" x14ac:dyDescent="0.35">
      <c r="A34" s="45" t="s">
        <v>1415</v>
      </c>
      <c r="B34" s="13" t="s">
        <v>89</v>
      </c>
      <c r="C34" s="14" t="s">
        <v>1461</v>
      </c>
      <c r="D34" s="15" t="s">
        <v>170</v>
      </c>
      <c r="E34" s="15" t="s">
        <v>1462</v>
      </c>
    </row>
    <row r="35" spans="1:5" ht="30" customHeight="1" x14ac:dyDescent="0.35">
      <c r="A35" s="45" t="s">
        <v>1415</v>
      </c>
      <c r="B35" s="13" t="s">
        <v>1463</v>
      </c>
      <c r="C35" s="14" t="s">
        <v>1464</v>
      </c>
      <c r="D35" s="15" t="s">
        <v>1465</v>
      </c>
      <c r="E35" s="15" t="s">
        <v>1466</v>
      </c>
    </row>
    <row r="36" spans="1:5" ht="30" customHeight="1" x14ac:dyDescent="0.35">
      <c r="A36" s="46" t="s">
        <v>1467</v>
      </c>
      <c r="B36" s="13" t="s">
        <v>1416</v>
      </c>
      <c r="C36" s="14" t="s">
        <v>1468</v>
      </c>
      <c r="D36" s="15" t="s">
        <v>1469</v>
      </c>
      <c r="E36" s="15" t="s">
        <v>1470</v>
      </c>
    </row>
    <row r="37" spans="1:5" ht="30" customHeight="1" x14ac:dyDescent="0.35">
      <c r="A37" s="46" t="s">
        <v>1467</v>
      </c>
      <c r="B37" s="13" t="s">
        <v>1430</v>
      </c>
      <c r="C37" s="14" t="s">
        <v>1471</v>
      </c>
      <c r="D37" s="15" t="s">
        <v>1472</v>
      </c>
      <c r="E37" s="15" t="s">
        <v>1473</v>
      </c>
    </row>
    <row r="38" spans="1:5" ht="30" customHeight="1" x14ac:dyDescent="0.35">
      <c r="A38" s="46" t="s">
        <v>1467</v>
      </c>
      <c r="B38" s="13" t="s">
        <v>1474</v>
      </c>
      <c r="C38" s="14" t="s">
        <v>1475</v>
      </c>
      <c r="D38" s="15" t="s">
        <v>1476</v>
      </c>
      <c r="E38" s="15" t="s">
        <v>1477</v>
      </c>
    </row>
    <row r="39" spans="1:5" ht="30" customHeight="1" x14ac:dyDescent="0.35">
      <c r="A39" s="46" t="s">
        <v>1467</v>
      </c>
      <c r="B39" s="13" t="s">
        <v>404</v>
      </c>
      <c r="C39" s="14" t="s">
        <v>1478</v>
      </c>
      <c r="D39" s="15" t="s">
        <v>1479</v>
      </c>
      <c r="E39" s="15" t="s">
        <v>1480</v>
      </c>
    </row>
    <row r="40" spans="1:5" ht="30" customHeight="1" x14ac:dyDescent="0.35">
      <c r="A40" s="46" t="s">
        <v>1467</v>
      </c>
      <c r="B40" s="13" t="s">
        <v>1481</v>
      </c>
      <c r="C40" s="14" t="s">
        <v>1482</v>
      </c>
      <c r="D40" s="15" t="s">
        <v>1472</v>
      </c>
      <c r="E40" s="15" t="s">
        <v>1483</v>
      </c>
    </row>
    <row r="41" spans="1:5" ht="30" customHeight="1" x14ac:dyDescent="0.35">
      <c r="A41" s="46" t="s">
        <v>1467</v>
      </c>
      <c r="B41" s="13" t="s">
        <v>1474</v>
      </c>
      <c r="C41" s="14" t="s">
        <v>1484</v>
      </c>
      <c r="D41" s="15" t="s">
        <v>1472</v>
      </c>
      <c r="E41" s="15" t="s">
        <v>1485</v>
      </c>
    </row>
    <row r="42" spans="1:5" ht="30" customHeight="1" x14ac:dyDescent="0.35">
      <c r="A42" s="46" t="s">
        <v>1467</v>
      </c>
      <c r="B42" s="13" t="s">
        <v>1430</v>
      </c>
      <c r="C42" s="14" t="s">
        <v>1486</v>
      </c>
      <c r="D42" s="15" t="s">
        <v>1472</v>
      </c>
      <c r="E42" s="15" t="s">
        <v>1487</v>
      </c>
    </row>
    <row r="43" spans="1:5" ht="30" customHeight="1" x14ac:dyDescent="0.35">
      <c r="A43" s="46" t="s">
        <v>1467</v>
      </c>
      <c r="B43" s="13" t="s">
        <v>1488</v>
      </c>
      <c r="C43" s="14" t="s">
        <v>1489</v>
      </c>
      <c r="D43" s="15" t="s">
        <v>1490</v>
      </c>
      <c r="E43" s="15" t="s">
        <v>1491</v>
      </c>
    </row>
    <row r="44" spans="1:5" ht="30" customHeight="1" x14ac:dyDescent="0.35">
      <c r="A44" s="46" t="s">
        <v>1467</v>
      </c>
      <c r="B44" s="13" t="s">
        <v>1492</v>
      </c>
      <c r="C44" s="14" t="s">
        <v>1493</v>
      </c>
      <c r="D44" s="15" t="s">
        <v>1472</v>
      </c>
      <c r="E44" s="15" t="s">
        <v>1494</v>
      </c>
    </row>
    <row r="45" spans="1:5" ht="30" customHeight="1" x14ac:dyDescent="0.35">
      <c r="A45" s="46" t="s">
        <v>1467</v>
      </c>
      <c r="B45" s="13" t="s">
        <v>1495</v>
      </c>
      <c r="C45" s="14" t="s">
        <v>1496</v>
      </c>
      <c r="D45" s="15" t="s">
        <v>354</v>
      </c>
      <c r="E45" s="15" t="s">
        <v>1497</v>
      </c>
    </row>
    <row r="46" spans="1:5" ht="30" customHeight="1" x14ac:dyDescent="0.35">
      <c r="A46" s="46" t="s">
        <v>1467</v>
      </c>
      <c r="B46" s="13" t="s">
        <v>1492</v>
      </c>
      <c r="C46" s="14" t="s">
        <v>1498</v>
      </c>
      <c r="D46" s="15" t="s">
        <v>1499</v>
      </c>
      <c r="E46" s="15" t="s">
        <v>1500</v>
      </c>
    </row>
    <row r="47" spans="1:5" ht="30" customHeight="1" x14ac:dyDescent="0.35">
      <c r="A47" s="46" t="s">
        <v>1467</v>
      </c>
      <c r="B47" s="13" t="s">
        <v>1452</v>
      </c>
      <c r="C47" s="14" t="s">
        <v>1501</v>
      </c>
      <c r="D47" s="15" t="s">
        <v>1502</v>
      </c>
      <c r="E47" s="15" t="s">
        <v>1503</v>
      </c>
    </row>
  </sheetData>
  <autoFilter ref="A4:E47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F24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5" customWidth="1"/>
    <col min="3" max="3" width="40" customWidth="1"/>
    <col min="4" max="4" width="52" customWidth="1"/>
    <col min="5" max="5" width="56" customWidth="1"/>
    <col min="6" max="6" width="22" customWidth="1"/>
  </cols>
  <sheetData>
    <row r="1" spans="1:6" ht="21.75" customHeight="1" x14ac:dyDescent="0.4">
      <c r="A1" s="7" t="s">
        <v>1504</v>
      </c>
    </row>
    <row r="2" spans="1:6" x14ac:dyDescent="0.35">
      <c r="A2" s="8" t="s">
        <v>1505</v>
      </c>
    </row>
    <row r="4" spans="1:6" ht="33.75" customHeight="1" x14ac:dyDescent="0.35">
      <c r="A4" s="9" t="s">
        <v>88</v>
      </c>
      <c r="B4" s="9" t="s">
        <v>432</v>
      </c>
      <c r="C4" s="9" t="s">
        <v>1506</v>
      </c>
      <c r="D4" s="9" t="s">
        <v>1507</v>
      </c>
      <c r="E4" s="9" t="s">
        <v>1508</v>
      </c>
      <c r="F4" s="9" t="s">
        <v>7</v>
      </c>
    </row>
    <row r="5" spans="1:6" ht="42" customHeight="1" x14ac:dyDescent="0.35">
      <c r="A5" s="47" t="s">
        <v>1509</v>
      </c>
      <c r="B5" s="21">
        <v>1</v>
      </c>
      <c r="C5" s="14" t="s">
        <v>1510</v>
      </c>
      <c r="D5" s="15" t="s">
        <v>1511</v>
      </c>
      <c r="E5" s="15" t="s">
        <v>1512</v>
      </c>
      <c r="F5" s="15" t="s">
        <v>1513</v>
      </c>
    </row>
    <row r="6" spans="1:6" ht="42" customHeight="1" x14ac:dyDescent="0.35">
      <c r="A6" s="47" t="s">
        <v>1509</v>
      </c>
      <c r="B6" s="21">
        <v>2</v>
      </c>
      <c r="C6" s="14" t="s">
        <v>1514</v>
      </c>
      <c r="D6" s="15" t="s">
        <v>1515</v>
      </c>
      <c r="E6" s="15" t="s">
        <v>1516</v>
      </c>
      <c r="F6" s="15" t="s">
        <v>1513</v>
      </c>
    </row>
    <row r="7" spans="1:6" ht="42" customHeight="1" x14ac:dyDescent="0.35">
      <c r="A7" s="47" t="s">
        <v>1509</v>
      </c>
      <c r="B7" s="21">
        <v>3</v>
      </c>
      <c r="C7" s="14" t="s">
        <v>1517</v>
      </c>
      <c r="D7" s="15" t="s">
        <v>1518</v>
      </c>
      <c r="E7" s="15" t="s">
        <v>1519</v>
      </c>
      <c r="F7" s="15" t="s">
        <v>1513</v>
      </c>
    </row>
    <row r="8" spans="1:6" ht="42" customHeight="1" x14ac:dyDescent="0.35">
      <c r="A8" s="47" t="s">
        <v>1509</v>
      </c>
      <c r="B8" s="21">
        <v>4</v>
      </c>
      <c r="C8" s="14" t="s">
        <v>1520</v>
      </c>
      <c r="D8" s="15" t="s">
        <v>1521</v>
      </c>
      <c r="E8" s="15" t="s">
        <v>1522</v>
      </c>
      <c r="F8" s="15" t="s">
        <v>1513</v>
      </c>
    </row>
    <row r="9" spans="1:6" ht="42" customHeight="1" x14ac:dyDescent="0.35">
      <c r="A9" s="47" t="s">
        <v>1509</v>
      </c>
      <c r="B9" s="21">
        <v>5</v>
      </c>
      <c r="C9" s="14" t="s">
        <v>1523</v>
      </c>
      <c r="D9" s="15" t="s">
        <v>1524</v>
      </c>
      <c r="E9" s="15" t="s">
        <v>1525</v>
      </c>
      <c r="F9" s="15" t="s">
        <v>1513</v>
      </c>
    </row>
    <row r="10" spans="1:6" ht="42" customHeight="1" x14ac:dyDescent="0.35">
      <c r="A10" s="48" t="s">
        <v>1526</v>
      </c>
      <c r="B10" s="21">
        <v>6</v>
      </c>
      <c r="C10" s="14" t="s">
        <v>1527</v>
      </c>
      <c r="D10" s="15" t="s">
        <v>1528</v>
      </c>
      <c r="E10" s="15" t="s">
        <v>1529</v>
      </c>
      <c r="F10" s="15" t="s">
        <v>1530</v>
      </c>
    </row>
    <row r="11" spans="1:6" ht="42" customHeight="1" x14ac:dyDescent="0.35">
      <c r="A11" s="48" t="s">
        <v>1526</v>
      </c>
      <c r="B11" s="21">
        <v>7</v>
      </c>
      <c r="C11" s="14" t="s">
        <v>1531</v>
      </c>
      <c r="D11" s="15" t="s">
        <v>1532</v>
      </c>
      <c r="E11" s="15" t="s">
        <v>1533</v>
      </c>
      <c r="F11" s="15" t="s">
        <v>1530</v>
      </c>
    </row>
    <row r="12" spans="1:6" ht="42" customHeight="1" x14ac:dyDescent="0.35">
      <c r="A12" s="48" t="s">
        <v>1526</v>
      </c>
      <c r="B12" s="21">
        <v>8</v>
      </c>
      <c r="C12" s="14" t="s">
        <v>1534</v>
      </c>
      <c r="D12" s="15" t="s">
        <v>1535</v>
      </c>
      <c r="E12" s="15" t="s">
        <v>1536</v>
      </c>
      <c r="F12" s="15" t="s">
        <v>1513</v>
      </c>
    </row>
    <row r="13" spans="1:6" ht="42" customHeight="1" x14ac:dyDescent="0.35">
      <c r="A13" s="48" t="s">
        <v>1526</v>
      </c>
      <c r="B13" s="21">
        <v>9</v>
      </c>
      <c r="C13" s="14" t="s">
        <v>1537</v>
      </c>
      <c r="D13" s="15" t="s">
        <v>1538</v>
      </c>
      <c r="E13" s="15" t="s">
        <v>1539</v>
      </c>
      <c r="F13" s="15" t="s">
        <v>1540</v>
      </c>
    </row>
    <row r="14" spans="1:6" ht="42" customHeight="1" x14ac:dyDescent="0.35">
      <c r="A14" s="48" t="s">
        <v>1526</v>
      </c>
      <c r="B14" s="21">
        <v>10</v>
      </c>
      <c r="C14" s="14" t="s">
        <v>1541</v>
      </c>
      <c r="D14" s="15" t="s">
        <v>1542</v>
      </c>
      <c r="E14" s="15" t="s">
        <v>1543</v>
      </c>
      <c r="F14" s="15" t="s">
        <v>1513</v>
      </c>
    </row>
    <row r="15" spans="1:6" ht="42" customHeight="1" x14ac:dyDescent="0.35">
      <c r="A15" s="48" t="s">
        <v>1526</v>
      </c>
      <c r="B15" s="21">
        <v>11</v>
      </c>
      <c r="C15" s="14" t="s">
        <v>1544</v>
      </c>
      <c r="D15" s="15" t="s">
        <v>1545</v>
      </c>
      <c r="E15" s="15" t="s">
        <v>1546</v>
      </c>
      <c r="F15" s="15" t="s">
        <v>1513</v>
      </c>
    </row>
    <row r="16" spans="1:6" ht="42" customHeight="1" x14ac:dyDescent="0.35">
      <c r="A16" s="48" t="s">
        <v>1526</v>
      </c>
      <c r="B16" s="21">
        <v>12</v>
      </c>
      <c r="C16" s="14" t="s">
        <v>1547</v>
      </c>
      <c r="D16" s="15" t="s">
        <v>1548</v>
      </c>
      <c r="E16" s="15" t="s">
        <v>1549</v>
      </c>
      <c r="F16" s="15" t="s">
        <v>1513</v>
      </c>
    </row>
    <row r="17" spans="1:6" ht="42" customHeight="1" x14ac:dyDescent="0.35">
      <c r="A17" s="29" t="s">
        <v>1550</v>
      </c>
      <c r="B17" s="21">
        <v>13</v>
      </c>
      <c r="C17" s="14" t="s">
        <v>1551</v>
      </c>
      <c r="D17" s="15" t="s">
        <v>1552</v>
      </c>
      <c r="E17" s="15" t="s">
        <v>1553</v>
      </c>
      <c r="F17" s="15" t="s">
        <v>1554</v>
      </c>
    </row>
    <row r="18" spans="1:6" ht="42" customHeight="1" x14ac:dyDescent="0.35">
      <c r="A18" s="29" t="s">
        <v>1550</v>
      </c>
      <c r="B18" s="21">
        <v>14</v>
      </c>
      <c r="C18" s="14" t="s">
        <v>1555</v>
      </c>
      <c r="D18" s="15" t="s">
        <v>1556</v>
      </c>
      <c r="E18" s="15" t="s">
        <v>1557</v>
      </c>
      <c r="F18" s="15" t="s">
        <v>1513</v>
      </c>
    </row>
    <row r="19" spans="1:6" ht="42" customHeight="1" x14ac:dyDescent="0.35">
      <c r="A19" s="29" t="s">
        <v>1550</v>
      </c>
      <c r="B19" s="21">
        <v>15</v>
      </c>
      <c r="C19" s="14" t="s">
        <v>1558</v>
      </c>
      <c r="D19" s="15" t="s">
        <v>1559</v>
      </c>
      <c r="E19" s="15" t="s">
        <v>1560</v>
      </c>
      <c r="F19" s="15" t="s">
        <v>1513</v>
      </c>
    </row>
    <row r="20" spans="1:6" ht="42" customHeight="1" x14ac:dyDescent="0.35">
      <c r="A20" s="29" t="s">
        <v>1550</v>
      </c>
      <c r="B20" s="21">
        <v>16</v>
      </c>
      <c r="C20" s="14" t="s">
        <v>1561</v>
      </c>
      <c r="D20" s="15" t="s">
        <v>1562</v>
      </c>
      <c r="E20" s="15" t="s">
        <v>1563</v>
      </c>
      <c r="F20" s="15" t="s">
        <v>1513</v>
      </c>
    </row>
    <row r="21" spans="1:6" ht="42" customHeight="1" x14ac:dyDescent="0.35">
      <c r="A21" s="29" t="s">
        <v>1550</v>
      </c>
      <c r="B21" s="21">
        <v>17</v>
      </c>
      <c r="C21" s="14" t="s">
        <v>1564</v>
      </c>
      <c r="D21" s="15" t="s">
        <v>1565</v>
      </c>
      <c r="E21" s="15" t="s">
        <v>1566</v>
      </c>
      <c r="F21" s="15" t="s">
        <v>1513</v>
      </c>
    </row>
    <row r="22" spans="1:6" ht="42" customHeight="1" x14ac:dyDescent="0.35">
      <c r="A22" s="29" t="s">
        <v>1550</v>
      </c>
      <c r="B22" s="21">
        <v>18</v>
      </c>
      <c r="C22" s="14" t="s">
        <v>1567</v>
      </c>
      <c r="D22" s="15" t="s">
        <v>1568</v>
      </c>
      <c r="E22" s="15" t="s">
        <v>1569</v>
      </c>
      <c r="F22" s="15" t="s">
        <v>1513</v>
      </c>
    </row>
    <row r="23" spans="1:6" ht="42" customHeight="1" x14ac:dyDescent="0.35">
      <c r="A23" s="29" t="s">
        <v>1550</v>
      </c>
      <c r="B23" s="21">
        <v>19</v>
      </c>
      <c r="C23" s="14" t="s">
        <v>1570</v>
      </c>
      <c r="D23" s="15" t="s">
        <v>1571</v>
      </c>
      <c r="E23" s="15" t="s">
        <v>1572</v>
      </c>
      <c r="F23" s="15" t="s">
        <v>1513</v>
      </c>
    </row>
    <row r="24" spans="1:6" ht="42" customHeight="1" x14ac:dyDescent="0.35">
      <c r="A24" s="29" t="s">
        <v>1550</v>
      </c>
      <c r="B24" s="21">
        <v>20</v>
      </c>
      <c r="C24" s="14" t="s">
        <v>1573</v>
      </c>
      <c r="D24" s="15" t="s">
        <v>1574</v>
      </c>
      <c r="E24" s="15" t="s">
        <v>1575</v>
      </c>
      <c r="F24" s="15" t="s">
        <v>1513</v>
      </c>
    </row>
  </sheetData>
  <autoFilter ref="A4:F24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D38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56" customWidth="1"/>
    <col min="3" max="3" width="62" customWidth="1"/>
    <col min="4" max="4" width="34" customWidth="1"/>
  </cols>
  <sheetData>
    <row r="1" spans="1:4" ht="21.75" customHeight="1" x14ac:dyDescent="0.4">
      <c r="A1" s="7" t="s">
        <v>1576</v>
      </c>
    </row>
    <row r="2" spans="1:4" x14ac:dyDescent="0.35">
      <c r="A2" s="8" t="s">
        <v>1577</v>
      </c>
    </row>
    <row r="4" spans="1:4" ht="33.75" customHeight="1" x14ac:dyDescent="0.35">
      <c r="A4" s="9" t="s">
        <v>1578</v>
      </c>
      <c r="B4" s="9" t="s">
        <v>1579</v>
      </c>
      <c r="C4" s="9" t="s">
        <v>1580</v>
      </c>
      <c r="D4" s="9" t="s">
        <v>1581</v>
      </c>
    </row>
    <row r="5" spans="1:4" ht="31.5" customHeight="1" x14ac:dyDescent="0.35">
      <c r="A5" s="49" t="s">
        <v>1582</v>
      </c>
      <c r="B5" s="15" t="s">
        <v>1583</v>
      </c>
      <c r="C5" s="15" t="s">
        <v>1584</v>
      </c>
      <c r="D5" s="15" t="s">
        <v>1585</v>
      </c>
    </row>
    <row r="6" spans="1:4" ht="31.5" customHeight="1" x14ac:dyDescent="0.35">
      <c r="A6" s="49" t="s">
        <v>1582</v>
      </c>
      <c r="B6" s="15" t="s">
        <v>1586</v>
      </c>
      <c r="C6" s="15" t="s">
        <v>1587</v>
      </c>
      <c r="D6" s="15" t="s">
        <v>1588</v>
      </c>
    </row>
    <row r="7" spans="1:4" ht="31.5" customHeight="1" x14ac:dyDescent="0.35">
      <c r="A7" s="49" t="s">
        <v>1582</v>
      </c>
      <c r="B7" s="15" t="s">
        <v>1589</v>
      </c>
      <c r="C7" s="15" t="s">
        <v>1590</v>
      </c>
      <c r="D7" s="15" t="s">
        <v>1588</v>
      </c>
    </row>
    <row r="8" spans="1:4" ht="31.5" customHeight="1" x14ac:dyDescent="0.35">
      <c r="A8" s="49" t="s">
        <v>1582</v>
      </c>
      <c r="B8" s="15" t="s">
        <v>1591</v>
      </c>
      <c r="C8" s="15" t="s">
        <v>1592</v>
      </c>
      <c r="D8" s="15" t="s">
        <v>1593</v>
      </c>
    </row>
    <row r="9" spans="1:4" ht="31.5" customHeight="1" x14ac:dyDescent="0.35">
      <c r="A9" s="49" t="s">
        <v>1582</v>
      </c>
      <c r="B9" s="15" t="s">
        <v>1594</v>
      </c>
      <c r="C9" s="15" t="s">
        <v>1595</v>
      </c>
      <c r="D9" s="15" t="s">
        <v>300</v>
      </c>
    </row>
    <row r="10" spans="1:4" ht="31.5" customHeight="1" x14ac:dyDescent="0.35">
      <c r="A10" s="49" t="s">
        <v>1582</v>
      </c>
      <c r="B10" s="15" t="s">
        <v>1596</v>
      </c>
      <c r="C10" s="15" t="s">
        <v>1597</v>
      </c>
      <c r="D10" s="15" t="s">
        <v>1598</v>
      </c>
    </row>
    <row r="11" spans="1:4" ht="31.5" customHeight="1" x14ac:dyDescent="0.35">
      <c r="A11" s="49" t="s">
        <v>1582</v>
      </c>
      <c r="B11" s="15" t="s">
        <v>1599</v>
      </c>
      <c r="C11" s="15" t="s">
        <v>1600</v>
      </c>
      <c r="D11" s="15" t="s">
        <v>1588</v>
      </c>
    </row>
    <row r="12" spans="1:4" ht="31.5" customHeight="1" x14ac:dyDescent="0.35">
      <c r="A12" s="49" t="s">
        <v>1582</v>
      </c>
      <c r="B12" s="15" t="s">
        <v>1601</v>
      </c>
      <c r="C12" s="15" t="s">
        <v>1602</v>
      </c>
      <c r="D12" s="15" t="s">
        <v>1603</v>
      </c>
    </row>
    <row r="13" spans="1:4" ht="31.5" customHeight="1" x14ac:dyDescent="0.35">
      <c r="A13" s="49" t="s">
        <v>1582</v>
      </c>
      <c r="B13" s="15" t="s">
        <v>1604</v>
      </c>
      <c r="C13" s="15" t="s">
        <v>1605</v>
      </c>
      <c r="D13" s="15" t="s">
        <v>201</v>
      </c>
    </row>
    <row r="14" spans="1:4" ht="31.5" customHeight="1" x14ac:dyDescent="0.35">
      <c r="A14" s="49" t="s">
        <v>1582</v>
      </c>
      <c r="B14" s="15" t="s">
        <v>1606</v>
      </c>
      <c r="C14" s="15" t="s">
        <v>1607</v>
      </c>
      <c r="D14" s="15" t="s">
        <v>276</v>
      </c>
    </row>
    <row r="15" spans="1:4" ht="31.5" customHeight="1" x14ac:dyDescent="0.35">
      <c r="A15" s="49" t="s">
        <v>1582</v>
      </c>
      <c r="B15" s="15" t="s">
        <v>1608</v>
      </c>
      <c r="C15" s="15" t="s">
        <v>1609</v>
      </c>
      <c r="D15" s="15" t="s">
        <v>300</v>
      </c>
    </row>
    <row r="16" spans="1:4" ht="31.5" customHeight="1" x14ac:dyDescent="0.35">
      <c r="A16" s="49" t="s">
        <v>1582</v>
      </c>
      <c r="B16" s="15" t="s">
        <v>1610</v>
      </c>
      <c r="C16" s="15" t="s">
        <v>1611</v>
      </c>
      <c r="D16" s="15" t="s">
        <v>300</v>
      </c>
    </row>
    <row r="17" spans="1:4" ht="31.5" customHeight="1" x14ac:dyDescent="0.35">
      <c r="A17" s="49" t="s">
        <v>1582</v>
      </c>
      <c r="B17" s="15" t="s">
        <v>1612</v>
      </c>
      <c r="C17" s="15" t="s">
        <v>1613</v>
      </c>
      <c r="D17" s="15" t="s">
        <v>300</v>
      </c>
    </row>
    <row r="18" spans="1:4" ht="31.5" customHeight="1" x14ac:dyDescent="0.35">
      <c r="A18" s="49" t="s">
        <v>1582</v>
      </c>
      <c r="B18" s="15" t="s">
        <v>1614</v>
      </c>
      <c r="C18" s="15" t="s">
        <v>1615</v>
      </c>
      <c r="D18" s="15" t="s">
        <v>300</v>
      </c>
    </row>
    <row r="19" spans="1:4" ht="31.5" customHeight="1" x14ac:dyDescent="0.35">
      <c r="A19" s="49" t="s">
        <v>1582</v>
      </c>
      <c r="B19" s="15" t="s">
        <v>1616</v>
      </c>
      <c r="C19" s="15" t="s">
        <v>1617</v>
      </c>
      <c r="D19" s="15" t="s">
        <v>300</v>
      </c>
    </row>
    <row r="20" spans="1:4" ht="31.5" customHeight="1" x14ac:dyDescent="0.35">
      <c r="A20" s="29" t="s">
        <v>1618</v>
      </c>
      <c r="B20" s="15" t="s">
        <v>1619</v>
      </c>
      <c r="C20" s="15" t="s">
        <v>1620</v>
      </c>
      <c r="D20" s="15" t="s">
        <v>300</v>
      </c>
    </row>
    <row r="21" spans="1:4" ht="31.5" customHeight="1" x14ac:dyDescent="0.35">
      <c r="A21" s="29" t="s">
        <v>1618</v>
      </c>
      <c r="B21" s="15" t="s">
        <v>1621</v>
      </c>
      <c r="C21" s="15" t="s">
        <v>1622</v>
      </c>
      <c r="D21" s="15" t="s">
        <v>300</v>
      </c>
    </row>
    <row r="22" spans="1:4" ht="31.5" customHeight="1" x14ac:dyDescent="0.35">
      <c r="A22" s="29" t="s">
        <v>1618</v>
      </c>
      <c r="B22" s="15" t="s">
        <v>1623</v>
      </c>
      <c r="C22" s="15" t="s">
        <v>1624</v>
      </c>
      <c r="D22" s="15" t="s">
        <v>300</v>
      </c>
    </row>
    <row r="23" spans="1:4" ht="31.5" customHeight="1" x14ac:dyDescent="0.35">
      <c r="A23" s="29" t="s">
        <v>1618</v>
      </c>
      <c r="B23" s="15" t="s">
        <v>1625</v>
      </c>
      <c r="C23" s="15" t="s">
        <v>1626</v>
      </c>
      <c r="D23" s="15" t="s">
        <v>300</v>
      </c>
    </row>
    <row r="24" spans="1:4" ht="31.5" customHeight="1" x14ac:dyDescent="0.35">
      <c r="A24" s="29" t="s">
        <v>1618</v>
      </c>
      <c r="B24" s="15" t="s">
        <v>1627</v>
      </c>
      <c r="C24" s="15" t="s">
        <v>1628</v>
      </c>
      <c r="D24" s="15" t="s">
        <v>1629</v>
      </c>
    </row>
    <row r="25" spans="1:4" ht="31.5" customHeight="1" x14ac:dyDescent="0.35">
      <c r="A25" s="29" t="s">
        <v>1618</v>
      </c>
      <c r="B25" s="15" t="s">
        <v>1630</v>
      </c>
      <c r="C25" s="15" t="s">
        <v>1631</v>
      </c>
      <c r="D25" s="15" t="s">
        <v>300</v>
      </c>
    </row>
    <row r="26" spans="1:4" ht="31.5" customHeight="1" x14ac:dyDescent="0.35">
      <c r="A26" s="29" t="s">
        <v>1632</v>
      </c>
      <c r="B26" s="15" t="s">
        <v>1633</v>
      </c>
      <c r="C26" s="15" t="s">
        <v>1634</v>
      </c>
      <c r="D26" s="15" t="s">
        <v>201</v>
      </c>
    </row>
    <row r="27" spans="1:4" ht="31.5" customHeight="1" x14ac:dyDescent="0.35">
      <c r="A27" s="29" t="s">
        <v>1632</v>
      </c>
      <c r="B27" s="15" t="s">
        <v>1635</v>
      </c>
      <c r="C27" s="15" t="s">
        <v>1636</v>
      </c>
      <c r="D27" s="15" t="s">
        <v>201</v>
      </c>
    </row>
    <row r="28" spans="1:4" ht="31.5" customHeight="1" x14ac:dyDescent="0.35">
      <c r="A28" s="29" t="s">
        <v>1632</v>
      </c>
      <c r="B28" s="15" t="s">
        <v>1637</v>
      </c>
      <c r="C28" s="15" t="s">
        <v>1638</v>
      </c>
      <c r="D28" s="15" t="s">
        <v>276</v>
      </c>
    </row>
    <row r="29" spans="1:4" ht="31.5" customHeight="1" x14ac:dyDescent="0.35">
      <c r="A29" s="29" t="s">
        <v>1632</v>
      </c>
      <c r="B29" s="15" t="s">
        <v>1639</v>
      </c>
      <c r="C29" s="15" t="s">
        <v>1640</v>
      </c>
      <c r="D29" s="15" t="s">
        <v>276</v>
      </c>
    </row>
    <row r="30" spans="1:4" ht="31.5" customHeight="1" x14ac:dyDescent="0.35">
      <c r="A30" s="48" t="s">
        <v>1641</v>
      </c>
      <c r="B30" s="15" t="s">
        <v>1642</v>
      </c>
      <c r="C30" s="15" t="s">
        <v>1643</v>
      </c>
      <c r="D30" s="15" t="s">
        <v>1644</v>
      </c>
    </row>
    <row r="31" spans="1:4" ht="31.5" customHeight="1" x14ac:dyDescent="0.35">
      <c r="A31" s="48" t="s">
        <v>1641</v>
      </c>
      <c r="B31" s="15" t="s">
        <v>1645</v>
      </c>
      <c r="C31" s="15" t="s">
        <v>1646</v>
      </c>
      <c r="D31" s="15" t="s">
        <v>1647</v>
      </c>
    </row>
    <row r="32" spans="1:4" ht="31.5" customHeight="1" x14ac:dyDescent="0.35">
      <c r="A32" s="48" t="s">
        <v>1648</v>
      </c>
      <c r="B32" s="15" t="s">
        <v>1649</v>
      </c>
      <c r="C32" s="15" t="s">
        <v>1650</v>
      </c>
      <c r="D32" s="15" t="s">
        <v>201</v>
      </c>
    </row>
    <row r="33" spans="1:4" ht="31.5" customHeight="1" x14ac:dyDescent="0.35">
      <c r="A33" s="48" t="s">
        <v>1648</v>
      </c>
      <c r="B33" s="15" t="s">
        <v>1651</v>
      </c>
      <c r="C33" s="15" t="s">
        <v>1652</v>
      </c>
      <c r="D33" s="15" t="s">
        <v>276</v>
      </c>
    </row>
    <row r="34" spans="1:4" ht="31.5" customHeight="1" x14ac:dyDescent="0.35">
      <c r="A34" s="29" t="s">
        <v>1653</v>
      </c>
      <c r="B34" s="15" t="s">
        <v>1654</v>
      </c>
      <c r="C34" s="15" t="s">
        <v>1655</v>
      </c>
      <c r="D34" s="15" t="s">
        <v>1656</v>
      </c>
    </row>
    <row r="35" spans="1:4" ht="31.5" customHeight="1" x14ac:dyDescent="0.35">
      <c r="A35" s="50" t="s">
        <v>1657</v>
      </c>
      <c r="B35" s="51" t="s">
        <v>1658</v>
      </c>
      <c r="C35" s="51" t="s">
        <v>1659</v>
      </c>
      <c r="D35" s="51" t="s">
        <v>1660</v>
      </c>
    </row>
    <row r="36" spans="1:4" ht="31.5" customHeight="1" x14ac:dyDescent="0.35">
      <c r="A36" s="50" t="s">
        <v>1657</v>
      </c>
      <c r="B36" s="51" t="s">
        <v>1661</v>
      </c>
      <c r="C36" s="51" t="s">
        <v>1662</v>
      </c>
      <c r="D36" s="51" t="s">
        <v>1663</v>
      </c>
    </row>
    <row r="37" spans="1:4" ht="31.5" customHeight="1" x14ac:dyDescent="0.35">
      <c r="A37" s="50" t="s">
        <v>1657</v>
      </c>
      <c r="B37" s="51" t="s">
        <v>1664</v>
      </c>
      <c r="C37" s="51" t="s">
        <v>1665</v>
      </c>
      <c r="D37" s="51" t="s">
        <v>420</v>
      </c>
    </row>
    <row r="38" spans="1:4" ht="31.5" customHeight="1" x14ac:dyDescent="0.35">
      <c r="A38" s="50" t="s">
        <v>1657</v>
      </c>
      <c r="B38" s="51" t="s">
        <v>1666</v>
      </c>
      <c r="C38" s="51" t="s">
        <v>1667</v>
      </c>
      <c r="D38" s="51" t="s">
        <v>1668</v>
      </c>
    </row>
  </sheetData>
  <autoFilter ref="A4:D38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README &amp; Legend</vt:lpstr>
      <vt:lpstr>2. Competitive Universe</vt:lpstr>
      <vt:lpstr>3. Product Archetypes</vt:lpstr>
      <vt:lpstr>4. Jobs To Be Done</vt:lpstr>
      <vt:lpstr>5. Feature Matrix</vt:lpstr>
      <vt:lpstr>6. Coverage Summary</vt:lpstr>
      <vt:lpstr>7. Sophistication Scores</vt:lpstr>
      <vt:lpstr>8. AI Intelligence Layer</vt:lpstr>
      <vt:lpstr>9. Table Stakes vs Diff.</vt:lpstr>
      <vt:lpstr>10. Research Gaps</vt:lpstr>
      <vt:lpstr>11. Sources &amp; Reliability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Kunjal Atul Palan</cp:lastModifiedBy>
  <cp:revision>0</cp:revision>
  <dcterms:created xsi:type="dcterms:W3CDTF">2026-08-27T10:03:27Z</dcterms:created>
  <dcterms:modified xsi:type="dcterms:W3CDTF">2026-08-27T10:15:33Z</dcterms:modified>
  <dc:language>en-US</dc:language>
</cp:coreProperties>
</file>